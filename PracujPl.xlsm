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A8AEBC96-B0E2-60E0-E325-6F3CC3B7FED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minik\PycharmProjects\pracujPlScrapper\"/>
    </mc:Choice>
  </mc:AlternateContent>
  <xr:revisionPtr revIDLastSave="0" documentId="13_ncr:1_{C6E8EEE1-2636-4FD4-8321-C549C3C4AFC2}" xr6:coauthVersionLast="47" xr6:coauthVersionMax="47" xr10:uidLastSave="{00000000-0000-0000-0000-000000000000}"/>
  <bookViews>
    <workbookView xWindow="-120" yWindow="-120" windowWidth="38640" windowHeight="21120" activeTab="4" xr2:uid="{00000000-000D-0000-FFFF-FFFF00000000}"/>
  </bookViews>
  <sheets>
    <sheet name="Description" sheetId="6" r:id="rId1"/>
    <sheet name="InputData" sheetId="5" r:id="rId2"/>
    <sheet name="MainData" sheetId="3" r:id="rId3"/>
    <sheet name="CurrencyAPI" sheetId="4" r:id="rId4"/>
    <sheet name="python_output (2)" sheetId="8" r:id="rId5"/>
    <sheet name="python_output" sheetId="7" r:id="rId6"/>
  </sheets>
  <definedNames>
    <definedName name="EUR">archiwum_tab_a_2024[1EUR]</definedName>
    <definedName name="ExternalData_1" localSheetId="3" hidden="1">CurrencyAPI!$A$1:$C$2</definedName>
    <definedName name="ExternalData_1" localSheetId="5" hidden="1">python_output!$A$1:$H$115</definedName>
    <definedName name="ExternalData_2" localSheetId="4" hidden="1">'python_output (2)'!$A$1:$L$113</definedName>
    <definedName name="USD">archiwum_tab_a_2024[1USD]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3" l="1" a="1"/>
  <c r="E8" i="3" s="1"/>
  <c r="F8" i="3" a="1"/>
  <c r="F8" i="3" s="1"/>
  <c r="E7" i="3" a="1"/>
  <c r="E7" i="3" s="1"/>
  <c r="F7" i="3" a="1"/>
  <c r="F7" i="3" s="1"/>
  <c r="F6" i="3" a="1"/>
  <c r="F6" i="3" s="1"/>
  <c r="E6" i="3" a="1"/>
  <c r="E6" i="3" s="1"/>
  <c r="F5" i="3" a="1"/>
  <c r="F5" i="3" s="1"/>
  <c r="F4" i="3" a="1"/>
  <c r="F4" i="3" s="1"/>
  <c r="F3" i="3" a="1"/>
  <c r="F3" i="3" s="1"/>
  <c r="F2" i="3"/>
  <c r="E5" i="3" a="1"/>
  <c r="E5" i="3" s="1"/>
  <c r="E4" i="3" a="1"/>
  <c r="E4" i="3" s="1"/>
  <c r="E3" i="3" a="1"/>
  <c r="E3" i="3" s="1"/>
  <c r="E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F3CA973-0132-415B-94BF-E0F571929F25}" keepAlive="1" name="Query - python_output(1)" description="Connection to the 'python_output' query in the workbook." type="5" refreshedVersion="8" background="1" saveData="1">
    <dbPr connection="Provider=Microsoft.Mashup.OleDb.1;Data Source=$Workbook$;Location=python_output;Extended Properties=&quot;&quot;" command="SELECT * FROM [python_output]"/>
  </connection>
  <connection id="2" xr16:uid="{7578E696-15B3-48AA-AA52-174BC4C5FA93}" keepAlive="1" name="Zapytanie — archiwum_tab_a_2024" description="Połączenie z zapytaniem „archiwum_tab_a_2024” w skoroszycie." type="5" refreshedVersion="8" background="1" saveData="1">
    <dbPr connection="Provider=Microsoft.Mashup.OleDb.1;Data Source=$Workbook$;Location=archiwum_tab_a_2024;Extended Properties=&quot;&quot;" command="SELECT * FROM [archiwum_tab_a_2024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<sst xmlns="http://schemas.openxmlformats.org/spreadsheetml/2006/main" count="2180" uniqueCount="346">
  <si>
    <t>NazwaStanowiska</t>
  </si>
  <si>
    <t>Miejscowość</t>
  </si>
  <si>
    <t xml:space="preserve">Firma </t>
  </si>
  <si>
    <t>PLN</t>
  </si>
  <si>
    <t>EUR</t>
  </si>
  <si>
    <t>USD</t>
  </si>
  <si>
    <t>Doświadczenie</t>
  </si>
  <si>
    <t>RodzajUmowy</t>
  </si>
  <si>
    <t>RodzajKontraktu</t>
  </si>
  <si>
    <t>TrybPracy</t>
  </si>
  <si>
    <t>Finance Automation Specialist</t>
  </si>
  <si>
    <t>Poznań</t>
  </si>
  <si>
    <t>Pepco-Centrala</t>
  </si>
  <si>
    <t>Specialist</t>
  </si>
  <si>
    <t>Umowa o pracę</t>
  </si>
  <si>
    <t>Pełen Etat</t>
  </si>
  <si>
    <t>Kontroler Operacyjny</t>
  </si>
  <si>
    <t>Chorzów</t>
  </si>
  <si>
    <t>Moto-Profil Sp. Z o.o.</t>
  </si>
  <si>
    <t>Kierownik/koordynator</t>
  </si>
  <si>
    <t>Umowa o pracę, kontrakt b2b</t>
  </si>
  <si>
    <t>Stacjonarny</t>
  </si>
  <si>
    <t>Hybrydowy</t>
  </si>
  <si>
    <t>RPA Business Analyst</t>
  </si>
  <si>
    <t>Kraków</t>
  </si>
  <si>
    <t>Amer Sports Global Business Services</t>
  </si>
  <si>
    <t>RPA Junior Internal Consultant/Developer</t>
  </si>
  <si>
    <t xml:space="preserve">Warszawa </t>
  </si>
  <si>
    <t>Empik S.A.</t>
  </si>
  <si>
    <t>Młodszy  Specialista</t>
  </si>
  <si>
    <t xml:space="preserve">DataPobrania </t>
  </si>
  <si>
    <t>data</t>
  </si>
  <si>
    <t>1USD</t>
  </si>
  <si>
    <t>1EUR</t>
  </si>
  <si>
    <t>20240412</t>
  </si>
  <si>
    <t>3,9983</t>
  </si>
  <si>
    <t>4,2666</t>
  </si>
  <si>
    <t>Toya</t>
  </si>
  <si>
    <t>Umowa zlecenia</t>
  </si>
  <si>
    <t>Łódź</t>
  </si>
  <si>
    <t>POSITION</t>
  </si>
  <si>
    <t>Analityk Procesów Biznesowych</t>
  </si>
  <si>
    <t>RPA Deweloper</t>
  </si>
  <si>
    <t>Tester Automatyzacji</t>
  </si>
  <si>
    <t>WPROWADZANIE DANYCH WEJŚCIOWYCH</t>
  </si>
  <si>
    <t>INPUTTING DATA</t>
  </si>
  <si>
    <t xml:space="preserve">W arkuszu "InputData" znajduje się tabela, w której można wprowadzić nazwy stanowisk, dla których chcesz przeprowadzić wyszukiwanie </t>
  </si>
  <si>
    <t>In the "InputData" sheet, there is a table where you can enter the names of the jobs for which you want to conduct a search</t>
  </si>
  <si>
    <t>URUCHAMIANIE PROCESU WYSZYKIWANIA</t>
  </si>
  <si>
    <t>RUNNING THE SEARCH PROCESS</t>
  </si>
  <si>
    <t>RĘCZNE URUCHAMIANIE PROCESU WYSZUKIWANIA</t>
  </si>
  <si>
    <t>MANUAL INITIATION OF THE SEARCH PROCESS</t>
  </si>
  <si>
    <t>To manually initiate the process of fetching position data, please press the "Run Automation" button</t>
  </si>
  <si>
    <t>Aby ręcznie uruchomić proces pobierania danych dotyczących stanowisk, naciśnij przycisk "Run Automation"</t>
  </si>
  <si>
    <t>Firma</t>
  </si>
  <si>
    <t>DataPobrania</t>
  </si>
  <si>
    <t>9 lokalizacji</t>
  </si>
  <si>
    <t>Sollers Consulting</t>
  </si>
  <si>
    <t>-</t>
  </si>
  <si>
    <t>Specjalista (Mid / Regular)</t>
  </si>
  <si>
    <t>Pełny etat</t>
  </si>
  <si>
    <t>Umowa o pracę, Kontrakt B2B</t>
  </si>
  <si>
    <t>Praca hybrydowa</t>
  </si>
  <si>
    <t>Wrocław, Fabryczna</t>
  </si>
  <si>
    <t>Młodszy specjalista (Junior)</t>
  </si>
  <si>
    <t>Запрошуємо працівників з України</t>
  </si>
  <si>
    <t>Kraków, Podgórze</t>
  </si>
  <si>
    <t>Wrocław, Stare Miasto</t>
  </si>
  <si>
    <t>Starszy specjalista (Senior)</t>
  </si>
  <si>
    <t>Kontrakt B2B</t>
  </si>
  <si>
    <t>Praca zdalna</t>
  </si>
  <si>
    <t>Warszawa, Śródmieście</t>
  </si>
  <si>
    <t>Praca od zaraz</t>
  </si>
  <si>
    <t>Warszawa</t>
  </si>
  <si>
    <t>Specjalista (Mid / Regular), Młodszy specjalista (Junior)</t>
  </si>
  <si>
    <t>Warszawa, Ochota</t>
  </si>
  <si>
    <t>ITFS sp. z o.o.</t>
  </si>
  <si>
    <t>Warszawa, Żoliborz</t>
  </si>
  <si>
    <t>3 lokalizacje</t>
  </si>
  <si>
    <t>Specjalista (Mid / Regular), Starszy specjalista (Senior)</t>
  </si>
  <si>
    <t>Warszawa, Mokotów</t>
  </si>
  <si>
    <t>Umowa na zastępstwo</t>
  </si>
  <si>
    <t>Miejsce pracy:Cała Polska (praca zdalna)Siedziba firmy:Wrocław</t>
  </si>
  <si>
    <t>Scalo Sp. z o.o.</t>
  </si>
  <si>
    <t>120–140 zł netto (+ VAT) / godz.</t>
  </si>
  <si>
    <t>Praca stacjonarna, Praca hybrydowa</t>
  </si>
  <si>
    <t>Piaseczno</t>
  </si>
  <si>
    <t>Auchan</t>
  </si>
  <si>
    <t>Kraków, Dębniki</t>
  </si>
  <si>
    <t>HSBC Service Delivery (Polska) Sp. z o.o.</t>
  </si>
  <si>
    <t>Szukamy wielu kandydatów</t>
  </si>
  <si>
    <t>Miejsce pracy:Cała Polska (praca zdalna)Siedziba firmy:Warszawa</t>
  </si>
  <si>
    <t>Praktykant / Stażysta</t>
  </si>
  <si>
    <t>Bank Millennium S.A.</t>
  </si>
  <si>
    <t>Katowice</t>
  </si>
  <si>
    <t>DomData AG Sp. z o.o.</t>
  </si>
  <si>
    <t>Praca stacjonarna</t>
  </si>
  <si>
    <t>Kraków, Podgórze Duchackie</t>
  </si>
  <si>
    <t>AMS</t>
  </si>
  <si>
    <t>2 lokalizacje</t>
  </si>
  <si>
    <t>Praca zdalna, Praca hybrydowa</t>
  </si>
  <si>
    <t>Connectis_</t>
  </si>
  <si>
    <t>22 000–24 000 zł netto (+ VAT) / mies.</t>
  </si>
  <si>
    <t>Gdańsk, Oliwa</t>
  </si>
  <si>
    <t>Wakacje.pl</t>
  </si>
  <si>
    <t>Szukamy wielu kandydatów (2 wakaty)</t>
  </si>
  <si>
    <t>Miejsce pracy:Cała Polska (praca zdalna)Siedziba firmy:Warszawa, Włochy</t>
  </si>
  <si>
    <t>DahliaMatic</t>
  </si>
  <si>
    <t>7 000–12 000 zł / mies. (zal. od umowy)</t>
  </si>
  <si>
    <t>Umowa o pracę, Umowa zlecenie, Kontrakt B2B</t>
  </si>
  <si>
    <t>Kierownik / Koordynator</t>
  </si>
  <si>
    <t>Gdańsk</t>
  </si>
  <si>
    <t>NIGEL FRANK INTERNATIONAL</t>
  </si>
  <si>
    <t>5 000–25 000 zł brutto / mies.</t>
  </si>
  <si>
    <t>DCG Sp. z o.o.</t>
  </si>
  <si>
    <t>17 600–20 000 zł netto (+ VAT) / mies.</t>
  </si>
  <si>
    <t>Warszawa, Wola</t>
  </si>
  <si>
    <t>FLOBOTICS sp. z o.o.</t>
  </si>
  <si>
    <t>50–75 zł / godz. (zal. od umowy)</t>
  </si>
  <si>
    <t>Umowa zlecenie, Kontrakt B2B</t>
  </si>
  <si>
    <t>Warszawa, Włochy</t>
  </si>
  <si>
    <t>VELUX Polska Sp. z o.o.</t>
  </si>
  <si>
    <t>ONWELO Sp. z o.o.</t>
  </si>
  <si>
    <t>Capgemini Polska</t>
  </si>
  <si>
    <t>AUTOMA SERVICES sp. z o.o.</t>
  </si>
  <si>
    <t>4 500–8 300 zł / mies. (zal. od umowy)</t>
  </si>
  <si>
    <t>Pełny etat, Część etatu</t>
  </si>
  <si>
    <t>Grafton Recruitment</t>
  </si>
  <si>
    <t>12 200–14 200 zł brutto / mies.</t>
  </si>
  <si>
    <t>eService Sp. z o.o.</t>
  </si>
  <si>
    <t>Miejsce pracy:Cała Polska (praca zdalna)Siedziba firmy:Wrocław, Stare Miasto</t>
  </si>
  <si>
    <t>Schaeffler Global Services Europe Sp. z o.o.</t>
  </si>
  <si>
    <t>Praca stacjonarna, Praca zdalna, Praca hybrydowa</t>
  </si>
  <si>
    <t>Łódź, Bałuty</t>
  </si>
  <si>
    <t>Commerzbank AG</t>
  </si>
  <si>
    <t>90 zł netto (+ VAT) / godz.</t>
  </si>
  <si>
    <t>Samsung R&amp;D Institute Poland</t>
  </si>
  <si>
    <t>Warszawa, Praga-Południe</t>
  </si>
  <si>
    <t>PIT-RADWAR S.A.</t>
  </si>
  <si>
    <t>Poznań, Stare Miasto</t>
  </si>
  <si>
    <t>ITDS Polska Sp. z o.o.</t>
  </si>
  <si>
    <t>14 700–18 900 zł / mies. (zal. od umowy)</t>
  </si>
  <si>
    <t>Nowy Sącz</t>
  </si>
  <si>
    <t>FAKRO</t>
  </si>
  <si>
    <t>CPI Poland Sp. z o.o.</t>
  </si>
  <si>
    <t>100–140 zł netto (+ VAT) / godz.</t>
  </si>
  <si>
    <t>AXA IT Solutions</t>
  </si>
  <si>
    <t>30 zł brutto / godz.</t>
  </si>
  <si>
    <t>Umowa zlecenie</t>
  </si>
  <si>
    <t>Miejsce pracy:Cała Polska (praca zdalna)Siedziba firmy:Kraków</t>
  </si>
  <si>
    <t>100–130 zł netto (+ VAT) / godz.</t>
  </si>
  <si>
    <t>ALTEN Polska</t>
  </si>
  <si>
    <t>Szczecin</t>
  </si>
  <si>
    <t>SB SOFTWARE sp. z o.o.</t>
  </si>
  <si>
    <t>Generali</t>
  </si>
  <si>
    <t>90–110 zł netto (+ VAT) / godz.</t>
  </si>
  <si>
    <t>Gliwice</t>
  </si>
  <si>
    <t>MARCH NETWORKS POLAND sp. z o.o.</t>
  </si>
  <si>
    <t>7 500–15 000 zł / mies. (zal. od umowy)</t>
  </si>
  <si>
    <t>7N Sp. z o.o.</t>
  </si>
  <si>
    <t>20 160–23 520 zł netto (+ VAT) / mies.</t>
  </si>
  <si>
    <t>Miejsce pracy:Cała Polska (praca zdalna)Siedziba firmy:Kraków, Dębniki</t>
  </si>
  <si>
    <t>Tronel Sp. z o.o.</t>
  </si>
  <si>
    <t>7 000–15 600 zł / mies. (zal. od umowy)</t>
  </si>
  <si>
    <t>INEOGROUP S.A.</t>
  </si>
  <si>
    <t>emagine sp. z o.o.</t>
  </si>
  <si>
    <t>170 zł netto (+ VAT) / godz.</t>
  </si>
  <si>
    <t>1dea Kośnik Sp. k.</t>
  </si>
  <si>
    <t>95–110 zł netto (+ VAT) / godz.</t>
  </si>
  <si>
    <t>Nokia</t>
  </si>
  <si>
    <t>HCL Poland</t>
  </si>
  <si>
    <t>Diebold Nixdorf</t>
  </si>
  <si>
    <t>Hitachi Energy Poland Sp. z o.o.</t>
  </si>
  <si>
    <t>VML Enterprise Solutions</t>
  </si>
  <si>
    <t>Senior Business Analyst</t>
  </si>
  <si>
    <t>Wrocław, Śródmieście</t>
  </si>
  <si>
    <t>PPG Global Business Services Poland Sp. z o.o.</t>
  </si>
  <si>
    <t>Kierownik / Koordynator, Menedżer</t>
  </si>
  <si>
    <t>Ekspert ds. zarządzania ryzykiem modeli</t>
  </si>
  <si>
    <t>ALIOR BANK</t>
  </si>
  <si>
    <t>Starszy specjalista (Senior), Ekspert</t>
  </si>
  <si>
    <t>Specjalista / Specjalistka ds. Inżynierii Danych i Digitalizacji</t>
  </si>
  <si>
    <t>Sady (pow. poznański)</t>
  </si>
  <si>
    <t>The Lorenz Bahlsen Snack-World Sp. z o.o.</t>
  </si>
  <si>
    <t>Analityk Biznesowy IT</t>
  </si>
  <si>
    <t>Łódź, Polesie</t>
  </si>
  <si>
    <t>DOZ S.A.</t>
  </si>
  <si>
    <t>IT Analyst (KYC/AML)</t>
  </si>
  <si>
    <t>Młodszy Analityk - Consulting</t>
  </si>
  <si>
    <t>Incube CPM Sp. z o.o.</t>
  </si>
  <si>
    <t>IT Business Analyst Operations</t>
  </si>
  <si>
    <t>The Customization Group</t>
  </si>
  <si>
    <t>Analityk systemowo-biznesowy (nieruchomości)</t>
  </si>
  <si>
    <t>Pivotal Polska Sp. z o.o.</t>
  </si>
  <si>
    <t>Business Analyst</t>
  </si>
  <si>
    <t>BlueSoft Sp. z o.o.</t>
  </si>
  <si>
    <t>System Analyst</t>
  </si>
  <si>
    <t>Miejsce pracy:Cała Polska (praca zdalna)Siedziba firmy:Katowice</t>
  </si>
  <si>
    <t>Analityk Baz Danych i Informacji Zarządczej</t>
  </si>
  <si>
    <t>Łódź, Widzew</t>
  </si>
  <si>
    <t>Citi Handlowy</t>
  </si>
  <si>
    <t>Starsza Analityczka / Starszy Analityk w Zespole Raportowania i Analiz Biznesowych</t>
  </si>
  <si>
    <t>VeloBank S.A.</t>
  </si>
  <si>
    <t>Business Analyst - Technology Development</t>
  </si>
  <si>
    <t>Analityk Biznesowy</t>
  </si>
  <si>
    <t>Miejsce pracy:Cała Polska (praca zdalna)Siedziba firmy:Warszawa, Ochota</t>
  </si>
  <si>
    <t>Edge One Solutions Sp. z o.o.</t>
  </si>
  <si>
    <t>Analityk biznesowo-systemowy</t>
  </si>
  <si>
    <t>IT Business Analyst</t>
  </si>
  <si>
    <t>Anex Tour Poland</t>
  </si>
  <si>
    <t>ERP / EDI Business Analyst</t>
  </si>
  <si>
    <t>Moltton</t>
  </si>
  <si>
    <t>Analityk Biznesowy i Techniczny Kierownik Produktu AI / Analityczka Biznesowa i Techniczna Kierowniczka Produktu AI</t>
  </si>
  <si>
    <t>Centralny Ośrodek Informatyki</t>
  </si>
  <si>
    <t>14 000–18 000 zł brutto / mies.</t>
  </si>
  <si>
    <t>Nexio Management Sp. z o.o.</t>
  </si>
  <si>
    <t>Business Analyst (SAP SD + EDI)</t>
  </si>
  <si>
    <t>110–140 zł netto (+ VAT) / godz.</t>
  </si>
  <si>
    <t>Business Applications Developer</t>
  </si>
  <si>
    <t>Pietrzykowice (pow. wrocławski; gm. Kąty Wrocławskie)</t>
  </si>
  <si>
    <t>Aircom Automotive</t>
  </si>
  <si>
    <t>Analityk/czka Biznesowo-Systemowy/a</t>
  </si>
  <si>
    <t>Analityk Biznesowy EOD (Elektronicznego Obiegu Dokumentów)</t>
  </si>
  <si>
    <t>Analityk Systemowy</t>
  </si>
  <si>
    <t>Wrocław, Psie Pole</t>
  </si>
  <si>
    <t>Kaczmarski Inkasso sp.j</t>
  </si>
  <si>
    <t>Business System Analyst</t>
  </si>
  <si>
    <t>E NET PRODUCTION</t>
  </si>
  <si>
    <t>12 000–19 000 zł / mies. (zal. od umowy)</t>
  </si>
  <si>
    <t>Business Analyst - One Portal Team</t>
  </si>
  <si>
    <t>T-Mobile</t>
  </si>
  <si>
    <t>Senior Business Analyst – Business Intelligence</t>
  </si>
  <si>
    <t>Specjalista / Specjalistka ds. Projektów Wdrożeniowych SQL</t>
  </si>
  <si>
    <t>MOREBIT SPÓŁKA Z OGRANICZONĄ ODPOWIEDZIALNOŚCIĄ</t>
  </si>
  <si>
    <t>Analityk Biznesowo-Systemowy</t>
  </si>
  <si>
    <t>VanityStyle Sp. z o.o.</t>
  </si>
  <si>
    <t>The JDE Project Manager</t>
  </si>
  <si>
    <t>Wrocław</t>
  </si>
  <si>
    <t>UPVANTA SPÓŁKA Z OGRANICZONĄ ODPOWIEDZIALNOŚCIĄ</t>
  </si>
  <si>
    <t>Menedżer</t>
  </si>
  <si>
    <t>Analityk biznesowy</t>
  </si>
  <si>
    <t>ITHOUSE SPÓŁKA Z OGRANICZONĄ ODPOWIEDZIALNOŚCIĄ</t>
  </si>
  <si>
    <t>Analityk Systemowo-Biznesowy - Departament Aplikacji Detalicznych</t>
  </si>
  <si>
    <t>Miejsce pracy:Cała Polska (praca zdalna)Siedziba firmy:2 lokalizacje</t>
  </si>
  <si>
    <t>ING Bank Śląski S.A.</t>
  </si>
  <si>
    <t>10 000–20 000 zł brutto / mies.</t>
  </si>
  <si>
    <t>Junior Business Analyst</t>
  </si>
  <si>
    <t>Sirocco</t>
  </si>
  <si>
    <t>Digital Business Analyst</t>
  </si>
  <si>
    <t>Analityk IT</t>
  </si>
  <si>
    <t>110–130 zł netto (+ VAT) / godz.</t>
  </si>
  <si>
    <t>Miejsce pracy:Cała Polska (praca zdalna)Siedziba firmy:Gdynia, Mały Kack</t>
  </si>
  <si>
    <t>BEST S.A.</t>
  </si>
  <si>
    <t>Analityk Systemowy - CRM</t>
  </si>
  <si>
    <t>Warszawa, Bielany</t>
  </si>
  <si>
    <t>Grupa Inter Cars</t>
  </si>
  <si>
    <t>Business Analyst - Commerce</t>
  </si>
  <si>
    <t>Kraków, Czyżyny</t>
  </si>
  <si>
    <t>HEINEKEN Global Shared Services</t>
  </si>
  <si>
    <t>System - Business Analyst</t>
  </si>
  <si>
    <t>140 zł netto (+ VAT) / godz.</t>
  </si>
  <si>
    <t>Specjalista Analityk Danych</t>
  </si>
  <si>
    <t>Analityk Biznesowo - Systemowy</t>
  </si>
  <si>
    <t>4 lokalizacje</t>
  </si>
  <si>
    <t>Asseco Poland S.A.</t>
  </si>
  <si>
    <t>EXATEL</t>
  </si>
  <si>
    <t>VOLKSWAGEN FINANCIAL SERVICES POLSKA SPÓŁKA Z OGRANICZONĄ ODPOWIEDZIALNOŚCIĄ</t>
  </si>
  <si>
    <t>Data Analyst &amp; Business Integration</t>
  </si>
  <si>
    <t>Philip Morris Polska Distribution Spółka z o.o.</t>
  </si>
  <si>
    <t>Analityk Biznesowo - Systemowy (ERP)</t>
  </si>
  <si>
    <t>21 840–25 200 zł netto (+ VAT) / mies.</t>
  </si>
  <si>
    <t>Analityk Systemowy w Zespole Utrzymania Aplikacji</t>
  </si>
  <si>
    <t>MS Dynamics AX/D365FO Developer</t>
  </si>
  <si>
    <t>Digital &amp; Automation Delivery Manager (Developer)</t>
  </si>
  <si>
    <t>Automation Services Manager</t>
  </si>
  <si>
    <t>Xceptor / Appian Developer</t>
  </si>
  <si>
    <t>RPA Developer</t>
  </si>
  <si>
    <t>Automation |RPA| Developer - Blue Prism</t>
  </si>
  <si>
    <t>Automation RPA Developer - UiPath / Blue Prism</t>
  </si>
  <si>
    <t>RPA Junior Developer</t>
  </si>
  <si>
    <t>Programista RPA</t>
  </si>
  <si>
    <t>Starszy Specjalista ds. Systemów OSS</t>
  </si>
  <si>
    <t>PGE Systemy S.A.</t>
  </si>
  <si>
    <t>Principal / Lead QA Engineer</t>
  </si>
  <si>
    <t>J-LABS sp. z o.o.</t>
  </si>
  <si>
    <t>QA Engineer</t>
  </si>
  <si>
    <t>Platfrom Automation Tester</t>
  </si>
  <si>
    <t>Kraków, Prądnik Czerwony</t>
  </si>
  <si>
    <t>Senior Manual QA Tester</t>
  </si>
  <si>
    <t>LiveKid Sp. z o.o.</t>
  </si>
  <si>
    <t>10 000–15 000 zł netto (+ VAT) / mies.</t>
  </si>
  <si>
    <t>IT Software Specialist</t>
  </si>
  <si>
    <t>Michael Page</t>
  </si>
  <si>
    <t>Test automation Engineer (Robot Framework)</t>
  </si>
  <si>
    <t>SKILLS MATTER</t>
  </si>
  <si>
    <t>Senior Test Automation Engineer</t>
  </si>
  <si>
    <t>Leroy Merlin Polska Sp. z o.o.</t>
  </si>
  <si>
    <t>Tricentis Tosca Test Engineer (Salesforce) (All Genders)</t>
  </si>
  <si>
    <t>Test Automation Lead - Product Factory&amp;Digital Processes Tribe</t>
  </si>
  <si>
    <t>Programme Test Manager</t>
  </si>
  <si>
    <t>20 000–25 000 zł netto (+ VAT) / mies.</t>
  </si>
  <si>
    <t>Tester Oprogramowania</t>
  </si>
  <si>
    <t>Kamsoft S.A.</t>
  </si>
  <si>
    <t>Tester WMS</t>
  </si>
  <si>
    <t>Tester SQL</t>
  </si>
  <si>
    <t>Polska Grupa Lotnicza</t>
  </si>
  <si>
    <t>Specjalista ds. Automatyzacji Procesów (Webcon/PowerPlatform)​</t>
  </si>
  <si>
    <t>Medicover</t>
  </si>
  <si>
    <t>Tester manualny</t>
  </si>
  <si>
    <t>Senior QA Engineer with automation</t>
  </si>
  <si>
    <t>BinaryCortex LLC</t>
  </si>
  <si>
    <t>12 000–17 500 zł netto (+ VAT) / mies.</t>
  </si>
  <si>
    <t>Test Analyst Salesforce (Test Factory) (All Genders)</t>
  </si>
  <si>
    <t>Backend Developer (All Genders)</t>
  </si>
  <si>
    <t>Automation Tester (Performance Tests)</t>
  </si>
  <si>
    <t>Manual Tester</t>
  </si>
  <si>
    <t>IoT SmartThings Labs Automation Tester</t>
  </si>
  <si>
    <t>Projektant Elektronik - Technolog Testu</t>
  </si>
  <si>
    <t>Tester automatyzujący - Selenide</t>
  </si>
  <si>
    <t>Automation Tester</t>
  </si>
  <si>
    <t>Kierownik Zespołu ds. Infrastruktury i Utrzymania Usług IT</t>
  </si>
  <si>
    <t>Senior IT Software Specialist</t>
  </si>
  <si>
    <t>Tester Automatyzujący</t>
  </si>
  <si>
    <t>Praktykant/Praktykantka do Zespołu Automatyzacji Testów</t>
  </si>
  <si>
    <t>System Automation Test Engineer</t>
  </si>
  <si>
    <t>IT Automation Tester</t>
  </si>
  <si>
    <t>Tester oprogramowania</t>
  </si>
  <si>
    <t>Specjalista_ka ds. Automatyzacji Procesów Finansowych</t>
  </si>
  <si>
    <t>Test Automation Engineer (Jmeter)</t>
  </si>
  <si>
    <t>Tester Automatyzujący (SWIFT Repo)</t>
  </si>
  <si>
    <t>Tester Automatyzujący (MT-Sorbnet)</t>
  </si>
  <si>
    <t>Tester Automatyzujący (aplikacja mobilna)</t>
  </si>
  <si>
    <t>5G Test Engineer - Telecoms Software</t>
  </si>
  <si>
    <t>Tester Oprogramowania / QA Engineer</t>
  </si>
  <si>
    <t>Senior IT Automation Tester</t>
  </si>
  <si>
    <t>Senior Automation Tester with Tax experience</t>
  </si>
  <si>
    <t>Senior Automation Tester/QA (C#/JavaScript/PowerShell)</t>
  </si>
  <si>
    <t>QA Automation Testing</t>
  </si>
  <si>
    <t>Software Engineer</t>
  </si>
  <si>
    <t>Software Quality Engineer</t>
  </si>
  <si>
    <t>BruttoNetto</t>
  </si>
  <si>
    <t>Min [PLN]</t>
  </si>
  <si>
    <t>Max [PLN]</t>
  </si>
  <si>
    <t>Netto</t>
  </si>
  <si>
    <t>Brutto</t>
  </si>
  <si>
    <t>Zależnie od umowy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</si>
</sst>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1" xfId="0" applyBorder="1"/>
    <xf numFmtId="14" fontId="0" fillId="0" borderId="0" xfId="0" applyNumberFormat="1"/>
    <xf numFmtId="2" fontId="0" fillId="0" borderId="1" xfId="0" applyNumberFormat="1" applyBorder="1"/>
    <xf numFmtId="0" fontId="0" fillId="0" borderId="4" xfId="0" applyBorder="1"/>
    <xf numFmtId="0" fontId="1" fillId="2" borderId="5" xfId="0" applyFont="1" applyFill="1" applyBorder="1"/>
    <xf numFmtId="0" fontId="1" fillId="2" borderId="6" xfId="0" applyFont="1" applyFill="1" applyBorder="1"/>
    <xf numFmtId="0" fontId="0" fillId="0" borderId="7" xfId="0" applyBorder="1"/>
    <xf numFmtId="0" fontId="0" fillId="0" borderId="8" xfId="0" applyBorder="1"/>
    <xf numFmtId="2" fontId="0" fillId="0" borderId="8" xfId="0" applyNumberFormat="1" applyBorder="1"/>
    <xf numFmtId="14" fontId="1" fillId="2" borderId="13" xfId="0" applyNumberFormat="1" applyFont="1" applyFill="1" applyBorder="1"/>
    <xf numFmtId="14" fontId="0" fillId="0" borderId="2" xfId="0" applyNumberFormat="1" applyBorder="1"/>
    <xf numFmtId="14" fontId="0" fillId="0" borderId="9" xfId="0" applyNumberFormat="1" applyBorder="1"/>
    <xf numFmtId="0" fontId="0" fillId="6" borderId="0" xfId="0" applyFill="1"/>
    <xf numFmtId="0" fontId="0" fillId="6" borderId="0" xfId="0" applyFill="1" applyAlignment="1">
      <alignment vertical="top" wrapText="1"/>
    </xf>
    <xf numFmtId="0" fontId="3" fillId="8" borderId="2" xfId="0" applyFont="1" applyFill="1" applyBorder="1" applyAlignment="1">
      <alignment horizontal="center"/>
    </xf>
    <xf numFmtId="0" fontId="3" fillId="8" borderId="3" xfId="0" applyFont="1" applyFill="1" applyBorder="1" applyAlignment="1">
      <alignment horizontal="center"/>
    </xf>
    <xf numFmtId="0" fontId="3" fillId="8" borderId="4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0" fillId="9" borderId="9" xfId="0" applyFill="1" applyBorder="1" applyAlignment="1">
      <alignment horizontal="left" vertical="center" wrapText="1"/>
    </xf>
    <xf numFmtId="0" fontId="0" fillId="9" borderId="10" xfId="0" applyFill="1" applyBorder="1" applyAlignment="1">
      <alignment horizontal="left" vertical="center" wrapText="1"/>
    </xf>
    <xf numFmtId="0" fontId="0" fillId="9" borderId="7" xfId="0" applyFill="1" applyBorder="1" applyAlignment="1">
      <alignment horizontal="left" vertical="center" wrapText="1"/>
    </xf>
    <xf numFmtId="0" fontId="0" fillId="9" borderId="11" xfId="0" applyFill="1" applyBorder="1" applyAlignment="1">
      <alignment horizontal="left" vertical="center" wrapText="1"/>
    </xf>
    <xf numFmtId="0" fontId="0" fillId="9" borderId="0" xfId="0" applyFill="1" applyAlignment="1">
      <alignment horizontal="left" vertical="center" wrapText="1"/>
    </xf>
    <xf numFmtId="0" fontId="0" fillId="9" borderId="12" xfId="0" applyFill="1" applyBorder="1" applyAlignment="1">
      <alignment horizontal="left" vertical="center" wrapText="1"/>
    </xf>
    <xf numFmtId="0" fontId="0" fillId="9" borderId="13" xfId="0" applyFill="1" applyBorder="1" applyAlignment="1">
      <alignment horizontal="left" vertical="center" wrapText="1"/>
    </xf>
    <xf numFmtId="0" fontId="0" fillId="9" borderId="14" xfId="0" applyFill="1" applyBorder="1" applyAlignment="1">
      <alignment horizontal="left" vertical="center" wrapText="1"/>
    </xf>
    <xf numFmtId="0" fontId="0" fillId="9" borderId="5" xfId="0" applyFill="1" applyBorder="1" applyAlignment="1">
      <alignment horizontal="left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1" fillId="7" borderId="2" xfId="0" applyFont="1" applyFill="1" applyBorder="1" applyAlignment="1">
      <alignment horizontal="center" vertical="top" wrapText="1"/>
    </xf>
    <xf numFmtId="0" fontId="1" fillId="7" borderId="3" xfId="0" applyFont="1" applyFill="1" applyBorder="1" applyAlignment="1">
      <alignment horizontal="center" vertical="top" wrapText="1"/>
    </xf>
    <xf numFmtId="0" fontId="1" fillId="7" borderId="4" xfId="0" applyFont="1" applyFill="1" applyBorder="1" applyAlignment="1">
      <alignment horizontal="center" vertical="top" wrapText="1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5" borderId="9" xfId="0" applyFill="1" applyBorder="1" applyAlignment="1">
      <alignment horizontal="left" vertical="center" wrapText="1"/>
    </xf>
    <xf numFmtId="0" fontId="0" fillId="5" borderId="10" xfId="0" applyFill="1" applyBorder="1" applyAlignment="1">
      <alignment horizontal="left" vertical="center" wrapText="1"/>
    </xf>
    <xf numFmtId="0" fontId="0" fillId="5" borderId="7" xfId="0" applyFill="1" applyBorder="1" applyAlignment="1">
      <alignment horizontal="left" vertical="center" wrapText="1"/>
    </xf>
    <xf numFmtId="0" fontId="0" fillId="5" borderId="11" xfId="0" applyFill="1" applyBorder="1" applyAlignment="1">
      <alignment horizontal="left" vertical="center" wrapText="1"/>
    </xf>
    <xf numFmtId="0" fontId="0" fillId="5" borderId="0" xfId="0" applyFill="1" applyAlignment="1">
      <alignment horizontal="left" vertical="center" wrapText="1"/>
    </xf>
    <xf numFmtId="0" fontId="0" fillId="5" borderId="12" xfId="0" applyFill="1" applyBorder="1" applyAlignment="1">
      <alignment horizontal="left" vertical="center" wrapText="1"/>
    </xf>
    <xf numFmtId="0" fontId="0" fillId="5" borderId="13" xfId="0" applyFill="1" applyBorder="1" applyAlignment="1">
      <alignment horizontal="left" vertical="center" wrapText="1"/>
    </xf>
    <xf numFmtId="0" fontId="0" fillId="5" borderId="14" xfId="0" applyFill="1" applyBorder="1" applyAlignment="1">
      <alignment horizontal="left" vertical="center" wrapText="1"/>
    </xf>
    <xf numFmtId="0" fontId="0" fillId="5" borderId="5" xfId="0" applyFill="1" applyBorder="1" applyAlignment="1">
      <alignment horizontal="left" vertical="center" wrapText="1"/>
    </xf>
    <xf numFmtId="0" fontId="0" fillId="3" borderId="9" xfId="0" applyFill="1" applyBorder="1" applyAlignment="1">
      <alignment horizontal="center" vertical="top" wrapText="1"/>
    </xf>
    <xf numFmtId="0" fontId="0" fillId="3" borderId="10" xfId="0" applyFill="1" applyBorder="1" applyAlignment="1">
      <alignment horizontal="center" vertical="top" wrapText="1"/>
    </xf>
    <xf numFmtId="0" fontId="0" fillId="3" borderId="7" xfId="0" applyFill="1" applyBorder="1" applyAlignment="1">
      <alignment horizontal="center" vertical="top" wrapText="1"/>
    </xf>
    <xf numFmtId="0" fontId="0" fillId="3" borderId="11" xfId="0" applyFill="1" applyBorder="1" applyAlignment="1">
      <alignment horizontal="center" vertical="top" wrapText="1"/>
    </xf>
    <xf numFmtId="0" fontId="0" fillId="3" borderId="0" xfId="0" applyFill="1" applyAlignment="1">
      <alignment horizontal="center" vertical="top" wrapText="1"/>
    </xf>
    <xf numFmtId="0" fontId="0" fillId="3" borderId="12" xfId="0" applyFill="1" applyBorder="1" applyAlignment="1">
      <alignment horizontal="center" vertical="top" wrapText="1"/>
    </xf>
    <xf numFmtId="0" fontId="0" fillId="3" borderId="13" xfId="0" applyFill="1" applyBorder="1" applyAlignment="1">
      <alignment horizontal="center" vertical="top" wrapText="1"/>
    </xf>
    <xf numFmtId="0" fontId="0" fillId="3" borderId="14" xfId="0" applyFill="1" applyBorder="1" applyAlignment="1">
      <alignment horizontal="center" vertical="top" wrapText="1"/>
    </xf>
    <xf numFmtId="0" fontId="0" fillId="3" borderId="5" xfId="0" applyFill="1" applyBorder="1" applyAlignment="1">
      <alignment horizontal="center" vertical="top" wrapText="1"/>
    </xf>
    <xf numFmtId="0" fontId="0" fillId="0" borderId="0" xfId="0" applyNumberFormat="1"/>
  </cellXfs>
  <cellStyles count="1">
    <cellStyle name="Normal" xfId="0" builtinId="0"/>
  </cellStyles>
  <dxfs count="35"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charset val="238"/>
      </font>
      <fill>
        <patternFill patternType="solid">
          <fgColor indexed="64"/>
          <bgColor rgb="FF00206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449580</xdr:colOff>
      <xdr:row>17</xdr:row>
      <xdr:rowOff>22860</xdr:rowOff>
    </xdr:from>
    <xdr:to>
      <xdr:col>16</xdr:col>
      <xdr:colOff>373380</xdr:colOff>
      <xdr:row>19</xdr:row>
      <xdr:rowOff>160020</xdr:rowOff>
    </xdr:to>
    <xdr:sp macro="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E4BEB313-10C7-0F5D-BEF1-4B619F1329E1}"/>
            </a:ext>
          </a:extLst>
        </xdr:cNvPr>
        <xdr:cNvSpPr/>
      </xdr:nvSpPr>
      <xdr:spPr>
        <a:xfrm>
          <a:off x="8374380" y="3131820"/>
          <a:ext cx="1752600" cy="50292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pl-PL" sz="1400" b="1">
              <a:solidFill>
                <a:sysClr val="windowText" lastClr="000000"/>
              </a:solidFill>
            </a:rPr>
            <a:t>RUN AUTOMATION</a:t>
          </a:r>
        </a:p>
      </xdr:txBody>
    </xdr:sp>
    <xdr:clientData/>
  </xdr:twoCellAnchor>
  <xdr:twoCellAnchor>
    <xdr:from>
      <xdr:col>12</xdr:col>
      <xdr:colOff>152400</xdr:colOff>
      <xdr:row>18</xdr:row>
      <xdr:rowOff>129540</xdr:rowOff>
    </xdr:from>
    <xdr:to>
      <xdr:col>13</xdr:col>
      <xdr:colOff>289560</xdr:colOff>
      <xdr:row>18</xdr:row>
      <xdr:rowOff>129540</xdr:rowOff>
    </xdr:to>
    <xdr:cxnSp macro="">
      <xdr:nvCxnSpPr>
        <xdr:cNvPr id="4" name="Łącznik prosty ze strzałką 3">
          <a:extLst>
            <a:ext uri="{FF2B5EF4-FFF2-40B4-BE49-F238E27FC236}">
              <a16:creationId xmlns:a16="http://schemas.microsoft.com/office/drawing/2014/main" id="{256CA091-618A-74A0-159B-69914B0CB821}"/>
            </a:ext>
          </a:extLst>
        </xdr:cNvPr>
        <xdr:cNvCxnSpPr/>
      </xdr:nvCxnSpPr>
      <xdr:spPr>
        <a:xfrm>
          <a:off x="7467600" y="3421380"/>
          <a:ext cx="746760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325243</xdr:colOff>
      <xdr:row>1</xdr:row>
      <xdr:rowOff>23231</xdr:rowOff>
    </xdr:from>
    <xdr:to>
      <xdr:col>6</xdr:col>
      <xdr:colOff>0</xdr:colOff>
      <xdr:row>5</xdr:row>
      <xdr:rowOff>46464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33212F6-F2D9-B3BC-4F90-63584C1D1A4E}"/>
            </a:ext>
          </a:extLst>
        </xdr:cNvPr>
        <xdr:cNvSpPr/>
      </xdr:nvSpPr>
      <xdr:spPr>
        <a:xfrm>
          <a:off x="2741341" y="209085"/>
          <a:ext cx="2090854" cy="76664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600" b="1"/>
            <a:t>Pobierz</a:t>
          </a:r>
          <a:r>
            <a:rPr lang="pl-PL" sz="1600" b="1" baseline="0"/>
            <a:t> oferty z platformy "pracuj.pl"</a:t>
          </a:r>
          <a:endParaRPr lang="pl-PL" sz="1600" b="1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F690BC67-5E51-4D90-93EA-02FCDAE41CBD}" autoFormatId="16" applyNumberFormats="0" applyBorderFormats="0" applyFontFormats="0" applyPatternFormats="0" applyAlignmentFormats="0" applyWidthHeightFormats="0">
  <queryTableRefresh nextId="38">
    <queryTableFields count="3">
      <queryTableField id="1" name="data" tableColumnId="1"/>
      <queryTableField id="3" name="1USD" tableColumnId="3"/>
      <queryTableField id="9" name="1EUR" tableColumnId="9"/>
    </queryTableFields>
    <queryTableDeletedFields count="34">
      <deletedField name="1THB"/>
      <deletedField name="1AUD"/>
      <deletedField name="1HKD"/>
      <deletedField name="1CAD"/>
      <deletedField name="1NZD"/>
      <deletedField name="1SGD"/>
      <deletedField name="100HUF"/>
      <deletedField name="1CHF"/>
      <deletedField name="1GBP"/>
      <deletedField name="1UAH"/>
      <deletedField name="100JPY"/>
      <deletedField name="1CZK"/>
      <deletedField name="1DKK"/>
      <deletedField name="100ISK"/>
      <deletedField name="1NOK"/>
      <deletedField name="1SEK"/>
      <deletedField name="1RON"/>
      <deletedField name="1BGN"/>
      <deletedField name="1TRY"/>
      <deletedField name="1ILS"/>
      <deletedField name="100CLP"/>
      <deletedField name="1PHP"/>
      <deletedField name="1MXN"/>
      <deletedField name="1ZAR"/>
      <deletedField name="1BRL"/>
      <deletedField name="1MYR"/>
      <deletedField name="10000IDR"/>
      <deletedField name="100INR"/>
      <deletedField name="100KRW"/>
      <deletedField name="1CNY"/>
      <deletedField name="1XDR"/>
      <deletedField name="nr tabeli"/>
      <deletedField name="pełny numer tabeli"/>
      <deletedField name="Column1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400C0C32-1D51-45E9-8C23-5E54EBA73A1C}" autoFormatId="16" applyNumberFormats="0" applyBorderFormats="0" applyFontFormats="0" applyPatternFormats="0" applyAlignmentFormats="0" applyWidthHeightFormats="0">
  <queryTableRefresh nextId="13">
    <queryTableFields count="12">
      <queryTableField id="1" name="NazwaStanowiska" tableColumnId="1"/>
      <queryTableField id="2" name="Miejscowość" tableColumnId="2"/>
      <queryTableField id="3" name="Firma" tableColumnId="3"/>
      <queryTableField id="4" name="PLN" tableColumnId="4"/>
      <queryTableField id="5" name="Doświadczenie" tableColumnId="5"/>
      <queryTableField id="6" name="RodzajUmowy" tableColumnId="6"/>
      <queryTableField id="7" name="RodzajKontraktu" tableColumnId="7"/>
      <queryTableField id="8" name="TrybPracy" tableColumnId="8"/>
      <queryTableField id="9" name="DataPobrania" tableColumnId="9"/>
      <queryTableField id="10" name="BruttoNetto" tableColumnId="10"/>
      <queryTableField id="11" name="Min [PLN]" tableColumnId="11"/>
      <queryTableField id="12" name="Max [PLN]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131DFB2-CEFC-4D71-80BB-B8050D879089}" name="Tabela3" displayName="Tabela3" ref="A1:A4" totalsRowShown="0">
  <autoFilter ref="A1:A4" xr:uid="{1131DFB2-CEFC-4D71-80BB-B8050D879089}"/>
  <tableColumns count="1">
    <tableColumn id="1" xr3:uid="{95ADBE8F-358F-4175-8871-F8D91F75AE7A}" name="POSI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E5EFF5-6B7B-4517-824A-805E0B368609}" name="Tabela2" displayName="Tabela2" ref="A1:K8" totalsRowShown="0" headerRowDxfId="34" headerRowBorderDxfId="33" tableBorderDxfId="32" totalsRowBorderDxfId="31">
  <autoFilter ref="A1:K8" xr:uid="{5AE5EFF5-6B7B-4517-824A-805E0B368609}"/>
  <tableColumns count="11">
    <tableColumn id="1" xr3:uid="{269BE051-8D76-47CC-BB16-F31FAA3EF73A}" name="NazwaStanowiska" dataDxfId="30"/>
    <tableColumn id="2" xr3:uid="{45CCB816-901D-43A3-ACF6-02ECCEF6F581}" name="Miejscowość" dataDxfId="29"/>
    <tableColumn id="3" xr3:uid="{8E79C0F5-E882-44F2-8DC2-476A99B49176}" name="Firma " dataDxfId="28"/>
    <tableColumn id="4" xr3:uid="{993904CE-8784-4635-9A1D-98377E1D3E80}" name="PLN" dataDxfId="27"/>
    <tableColumn id="5" xr3:uid="{96575734-D60E-4E7B-833D-64C0332F6341}" name="EUR" dataDxfId="26">
      <calculatedColumnFormula array="1">D2/archiwum_tab_a_2024[1EUR]</calculatedColumnFormula>
    </tableColumn>
    <tableColumn id="6" xr3:uid="{C4BE277A-7432-453E-A4F9-FBA28B8D07CA}" name="USD" dataDxfId="25">
      <calculatedColumnFormula array="1">D2/archiwum_tab_a_2024[1USD]</calculatedColumnFormula>
    </tableColumn>
    <tableColumn id="7" xr3:uid="{2F5386B5-B1B0-4627-9CA5-67DEAFD21C0E}" name="Doświadczenie" dataDxfId="24"/>
    <tableColumn id="8" xr3:uid="{8FC8D62F-305E-4C88-B899-D11B831B7CE0}" name="RodzajUmowy" dataDxfId="23"/>
    <tableColumn id="9" xr3:uid="{6BEE71DA-DA5A-434D-8B24-7B1E7C563F1B}" name="RodzajKontraktu" dataDxfId="22"/>
    <tableColumn id="10" xr3:uid="{31F48F8D-4CCD-4E35-AE45-38F70A29F83D}" name="TrybPracy" dataDxfId="21"/>
    <tableColumn id="11" xr3:uid="{C4ABEDFE-485C-449E-BC9D-ECA14F50916A}" name="DataPobrania 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91A474-9A1F-4054-8D12-83AFD7C1200E}" name="archiwum_tab_a_2024" displayName="archiwum_tab_a_2024" ref="A1:C2" tableType="queryTable" totalsRowShown="0">
  <autoFilter ref="A1:C2" xr:uid="{5F91A474-9A1F-4054-8D12-83AFD7C1200E}"/>
  <tableColumns count="3">
    <tableColumn id="1" xr3:uid="{5C6D8FD9-A5AB-43EE-BF4B-2AD198AC57F4}" uniqueName="1" name="data" queryTableFieldId="1" dataDxfId="19"/>
    <tableColumn id="3" xr3:uid="{88607C3B-920C-42F5-A165-9F8A8497B14A}" uniqueName="3" name="1USD" queryTableFieldId="3" dataDxfId="18"/>
    <tableColumn id="9" xr3:uid="{D4C1E3DA-2BAF-41AF-901F-EE86106D1AB8}" uniqueName="9" name="1EUR" queryTableFieldId="9" dataDxfId="1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7A26115-6375-4D84-8A44-87DDBA2024D5}" name="python_output_1" displayName="python_output_1" ref="A1:L113" tableType="queryTable" totalsRowShown="0">
  <autoFilter ref="A1:L113" xr:uid="{07A26115-6375-4D84-8A44-87DDBA2024D5}"/>
  <tableColumns count="12">
    <tableColumn id="1" xr3:uid="{76E9694D-084F-49C3-8E98-1AD46FC782DD}" uniqueName="1" name="NazwaStanowiska" queryTableFieldId="1" dataDxfId="8"/>
    <tableColumn id="2" xr3:uid="{951975B4-F51F-4D9C-BB6D-DE21E7589452}" uniqueName="2" name="Miejscowość" queryTableFieldId="2" dataDxfId="7"/>
    <tableColumn id="3" xr3:uid="{4D35C936-2CB5-4FF4-8BF8-327D3E0D93CA}" uniqueName="3" name="Firma" queryTableFieldId="3" dataDxfId="6"/>
    <tableColumn id="4" xr3:uid="{E49C27D5-98FE-4771-A74C-E65DAA9FEE1B}" uniqueName="4" name="PLN" queryTableFieldId="4" dataDxfId="5"/>
    <tableColumn id="5" xr3:uid="{00B4F67A-366B-4ACF-A6F8-F1A962A3ABF2}" uniqueName="5" name="Doświadczenie" queryTableFieldId="5" dataDxfId="4"/>
    <tableColumn id="6" xr3:uid="{2165CD65-15AF-444D-8702-0B0DE4AA36C6}" uniqueName="6" name="RodzajUmowy" queryTableFieldId="6" dataDxfId="3"/>
    <tableColumn id="7" xr3:uid="{3B6CAD96-A4F3-4C9E-81B8-6CAF7BC8AFF8}" uniqueName="7" name="RodzajKontraktu" queryTableFieldId="7" dataDxfId="2"/>
    <tableColumn id="8" xr3:uid="{05320C9A-8DE6-406A-82DA-0C5853BC6348}" uniqueName="8" name="TrybPracy" queryTableFieldId="8" dataDxfId="1"/>
    <tableColumn id="9" xr3:uid="{B63E28E9-09CB-4923-82C9-21F905FE893A}" uniqueName="9" name="DataPobrania" queryTableFieldId="9" dataDxfId="0"/>
    <tableColumn id="10" xr3:uid="{F9257301-B841-4AC7-82A3-FAC327A57B52}" uniqueName="10" name="BruttoNetto" queryTableFieldId="10"/>
    <tableColumn id="11" xr3:uid="{5AF306E2-6232-4524-BC81-AE192A67CEC9}" uniqueName="11" name="Min [PLN]" queryTableFieldId="11"/>
    <tableColumn id="12" xr3:uid="{26BA34CD-B299-4CFD-BA6A-DDC069E9B315}" uniqueName="12" name="Max [PLN]" queryTableFieldId="1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0F572D-D9CE-444A-BFD2-423FF9002B77}" name="python_output" displayName="python_output" ref="A1:H115" totalsRowShown="0">
  <autoFilter ref="A1:H115" xr:uid="{450F572D-D9CE-444A-BFD2-423FF9002B77}"/>
  <tableColumns count="8">
    <tableColumn id="1" xr3:uid="{70CDCADC-3B81-4A32-AE58-D96FBBFB7889}" name="NazwaStanowiska" dataDxfId="9"/>
    <tableColumn id="9" xr3:uid="{CA4995C7-2F1B-4573-934D-F05668EB72DC}" name="Miejscowość" dataDxfId="16"/>
    <tableColumn id="10" xr3:uid="{B74C5A45-E171-4002-900C-0E71BD8C2769}" name="Firma" dataDxfId="15"/>
    <tableColumn id="11" xr3:uid="{4561DC37-5F51-4A4B-85C0-07776DC639DE}" name="PLN" dataDxfId="14"/>
    <tableColumn id="12" xr3:uid="{AE345621-20A7-4627-A9E8-B15C72F63981}" name="Doświadczenie" dataDxfId="13"/>
    <tableColumn id="13" xr3:uid="{1745B8E3-4929-476E-AA17-8A128D3CDCE3}" name="RodzajUmowy" dataDxfId="12"/>
    <tableColumn id="14" xr3:uid="{48BFC103-F553-462E-BA8F-BD96EF0FCFC3}" name="RodzajKontraktu" dataDxfId="11"/>
    <tableColumn id="15" xr3:uid="{F858C864-9407-43CC-8573-BE0AE62BDD1D}" name="TrybPracy" dataDxf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71D5B-105C-4516-89BB-37ACD293638F}">
  <sheetPr codeName="Sheet2"/>
  <dimension ref="A1:Y36"/>
  <sheetViews>
    <sheetView showGridLines="0" topLeftCell="C1" zoomScale="108" workbookViewId="0">
      <selection activeCell="N11" sqref="N11"/>
    </sheetView>
  </sheetViews>
  <sheetFormatPr defaultRowHeight="15" x14ac:dyDescent="0.25"/>
  <sheetData>
    <row r="1" spans="1:25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</row>
    <row r="2" spans="1:25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</row>
    <row r="3" spans="1:25" x14ac:dyDescent="0.25">
      <c r="A3" s="13"/>
      <c r="B3" s="13"/>
      <c r="C3" s="13"/>
      <c r="D3" s="15" t="s">
        <v>44</v>
      </c>
      <c r="E3" s="16"/>
      <c r="F3" s="16"/>
      <c r="G3" s="17"/>
      <c r="H3" s="13"/>
      <c r="I3" s="18" t="s">
        <v>45</v>
      </c>
      <c r="J3" s="19"/>
      <c r="K3" s="19"/>
      <c r="L3" s="20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</row>
    <row r="4" spans="1:25" ht="14.45" customHeight="1" x14ac:dyDescent="0.25">
      <c r="A4" s="13"/>
      <c r="B4" s="13"/>
      <c r="C4" s="13"/>
      <c r="D4" s="21" t="s">
        <v>46</v>
      </c>
      <c r="E4" s="22"/>
      <c r="F4" s="22"/>
      <c r="G4" s="23"/>
      <c r="H4" s="13"/>
      <c r="I4" s="21" t="s">
        <v>47</v>
      </c>
      <c r="J4" s="22"/>
      <c r="K4" s="22"/>
      <c r="L4" s="2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</row>
    <row r="5" spans="1:25" x14ac:dyDescent="0.25">
      <c r="A5" s="13"/>
      <c r="B5" s="13"/>
      <c r="C5" s="13"/>
      <c r="D5" s="24"/>
      <c r="E5" s="25"/>
      <c r="F5" s="25"/>
      <c r="G5" s="26"/>
      <c r="H5" s="13"/>
      <c r="I5" s="24"/>
      <c r="J5" s="25"/>
      <c r="K5" s="25"/>
      <c r="L5" s="26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</row>
    <row r="6" spans="1:25" x14ac:dyDescent="0.25">
      <c r="A6" s="13"/>
      <c r="B6" s="13"/>
      <c r="C6" s="13"/>
      <c r="D6" s="24"/>
      <c r="E6" s="25"/>
      <c r="F6" s="25"/>
      <c r="G6" s="26"/>
      <c r="H6" s="13"/>
      <c r="I6" s="24"/>
      <c r="J6" s="25"/>
      <c r="K6" s="25"/>
      <c r="L6" s="26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</row>
    <row r="7" spans="1:25" x14ac:dyDescent="0.25">
      <c r="A7" s="13"/>
      <c r="B7" s="13"/>
      <c r="C7" s="13"/>
      <c r="D7" s="27"/>
      <c r="E7" s="28"/>
      <c r="F7" s="28"/>
      <c r="G7" s="29"/>
      <c r="H7" s="13"/>
      <c r="I7" s="27"/>
      <c r="J7" s="28"/>
      <c r="K7" s="28"/>
      <c r="L7" s="29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</row>
    <row r="8" spans="1:25" x14ac:dyDescent="0.25">
      <c r="A8" s="13"/>
      <c r="B8" s="13"/>
      <c r="C8" s="13"/>
      <c r="D8" s="14"/>
      <c r="E8" s="14"/>
      <c r="F8" s="14"/>
      <c r="G8" s="14"/>
      <c r="H8" s="13"/>
      <c r="I8" s="14"/>
      <c r="J8" s="14"/>
      <c r="K8" s="14"/>
      <c r="L8" s="14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</row>
    <row r="9" spans="1:25" x14ac:dyDescent="0.25">
      <c r="A9" s="13"/>
      <c r="B9" s="13"/>
      <c r="C9" s="13"/>
      <c r="D9" s="14"/>
      <c r="E9" s="14"/>
      <c r="F9" s="14"/>
      <c r="G9" s="14"/>
      <c r="H9" s="13"/>
      <c r="I9" s="14"/>
      <c r="J9" s="14"/>
      <c r="K9" s="14"/>
      <c r="L9" s="14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</row>
    <row r="10" spans="1:25" x14ac:dyDescent="0.25">
      <c r="A10" s="13"/>
      <c r="B10" s="13"/>
      <c r="C10" s="13"/>
      <c r="D10" s="30" t="s">
        <v>48</v>
      </c>
      <c r="E10" s="31"/>
      <c r="F10" s="31"/>
      <c r="G10" s="32"/>
      <c r="H10" s="13"/>
      <c r="I10" s="33" t="s">
        <v>49</v>
      </c>
      <c r="J10" s="34"/>
      <c r="K10" s="34"/>
      <c r="L10" s="35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</row>
    <row r="11" spans="1:25" x14ac:dyDescent="0.25">
      <c r="A11" s="13"/>
      <c r="B11" s="13"/>
      <c r="C11" s="13"/>
      <c r="D11" s="51"/>
      <c r="E11" s="52"/>
      <c r="F11" s="52"/>
      <c r="G11" s="53"/>
      <c r="H11" s="13"/>
      <c r="I11" s="51"/>
      <c r="J11" s="52"/>
      <c r="K11" s="52"/>
      <c r="L11" s="5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</row>
    <row r="12" spans="1:25" x14ac:dyDescent="0.25">
      <c r="A12" s="13"/>
      <c r="B12" s="13"/>
      <c r="C12" s="13"/>
      <c r="D12" s="54"/>
      <c r="E12" s="55"/>
      <c r="F12" s="55"/>
      <c r="G12" s="56"/>
      <c r="H12" s="13"/>
      <c r="I12" s="54"/>
      <c r="J12" s="55"/>
      <c r="K12" s="55"/>
      <c r="L12" s="56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</row>
    <row r="13" spans="1:25" x14ac:dyDescent="0.25">
      <c r="A13" s="13"/>
      <c r="B13" s="13"/>
      <c r="C13" s="13"/>
      <c r="D13" s="54"/>
      <c r="E13" s="55"/>
      <c r="F13" s="55"/>
      <c r="G13" s="56"/>
      <c r="H13" s="13"/>
      <c r="I13" s="54"/>
      <c r="J13" s="55"/>
      <c r="K13" s="55"/>
      <c r="L13" s="56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</row>
    <row r="14" spans="1:25" x14ac:dyDescent="0.25">
      <c r="A14" s="13"/>
      <c r="B14" s="13"/>
      <c r="C14" s="13"/>
      <c r="D14" s="57"/>
      <c r="E14" s="58"/>
      <c r="F14" s="58"/>
      <c r="G14" s="59"/>
      <c r="H14" s="13"/>
      <c r="I14" s="57"/>
      <c r="J14" s="58"/>
      <c r="K14" s="58"/>
      <c r="L14" s="59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</row>
    <row r="15" spans="1:25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</row>
    <row r="16" spans="1:25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</row>
    <row r="17" spans="1:25" x14ac:dyDescent="0.25">
      <c r="A17" s="13"/>
      <c r="B17" s="13"/>
      <c r="C17" s="13"/>
      <c r="D17" s="36" t="s">
        <v>50</v>
      </c>
      <c r="E17" s="37"/>
      <c r="F17" s="37"/>
      <c r="G17" s="38"/>
      <c r="H17" s="13"/>
      <c r="I17" s="39" t="s">
        <v>51</v>
      </c>
      <c r="J17" s="40"/>
      <c r="K17" s="40"/>
      <c r="L17" s="41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</row>
    <row r="18" spans="1:25" x14ac:dyDescent="0.25">
      <c r="A18" s="13"/>
      <c r="B18" s="13"/>
      <c r="C18" s="13"/>
      <c r="D18" s="42" t="s">
        <v>53</v>
      </c>
      <c r="E18" s="43"/>
      <c r="F18" s="43"/>
      <c r="G18" s="44"/>
      <c r="H18" s="13"/>
      <c r="I18" s="42" t="s">
        <v>52</v>
      </c>
      <c r="J18" s="43"/>
      <c r="K18" s="43"/>
      <c r="L18" s="44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</row>
    <row r="19" spans="1:25" x14ac:dyDescent="0.25">
      <c r="A19" s="13"/>
      <c r="B19" s="13"/>
      <c r="C19" s="13"/>
      <c r="D19" s="45"/>
      <c r="E19" s="46"/>
      <c r="F19" s="46"/>
      <c r="G19" s="47"/>
      <c r="H19" s="13"/>
      <c r="I19" s="45"/>
      <c r="J19" s="46"/>
      <c r="K19" s="46"/>
      <c r="L19" s="47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</row>
    <row r="20" spans="1:25" x14ac:dyDescent="0.25">
      <c r="A20" s="13"/>
      <c r="B20" s="13"/>
      <c r="C20" s="13"/>
      <c r="D20" s="45"/>
      <c r="E20" s="46"/>
      <c r="F20" s="46"/>
      <c r="G20" s="47"/>
      <c r="H20" s="13"/>
      <c r="I20" s="45"/>
      <c r="J20" s="46"/>
      <c r="K20" s="46"/>
      <c r="L20" s="47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</row>
    <row r="21" spans="1:25" x14ac:dyDescent="0.25">
      <c r="A21" s="13"/>
      <c r="B21" s="13"/>
      <c r="C21" s="13"/>
      <c r="D21" s="48"/>
      <c r="E21" s="49"/>
      <c r="F21" s="49"/>
      <c r="G21" s="50"/>
      <c r="H21" s="13"/>
      <c r="I21" s="48"/>
      <c r="J21" s="49"/>
      <c r="K21" s="49"/>
      <c r="L21" s="50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</row>
    <row r="22" spans="1:25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</row>
    <row r="23" spans="1:25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</row>
    <row r="24" spans="1:25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</row>
    <row r="25" spans="1:25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</row>
    <row r="26" spans="1:25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</row>
    <row r="27" spans="1:25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</row>
    <row r="28" spans="1:25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</row>
    <row r="29" spans="1:25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</row>
    <row r="30" spans="1:25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</row>
    <row r="31" spans="1:25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</row>
    <row r="32" spans="1:25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</row>
    <row r="33" spans="1:25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</row>
    <row r="34" spans="1:25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</row>
    <row r="35" spans="1:25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</row>
    <row r="36" spans="1:25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</row>
  </sheetData>
  <mergeCells count="12">
    <mergeCell ref="D17:G17"/>
    <mergeCell ref="I17:L17"/>
    <mergeCell ref="D18:G21"/>
    <mergeCell ref="I18:L21"/>
    <mergeCell ref="D11:G14"/>
    <mergeCell ref="I11:L14"/>
    <mergeCell ref="D3:G3"/>
    <mergeCell ref="I3:L3"/>
    <mergeCell ref="D4:G7"/>
    <mergeCell ref="I4:L7"/>
    <mergeCell ref="D10:G10"/>
    <mergeCell ref="I10:L10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10D13-D192-4381-B83E-1AD30023F74C}">
  <sheetPr codeName="Sheet1">
    <tabColor theme="4" tint="0.79998168889431442"/>
  </sheetPr>
  <dimension ref="A1:A4"/>
  <sheetViews>
    <sheetView zoomScale="82" workbookViewId="0">
      <selection activeCell="G34" sqref="G34:G35"/>
    </sheetView>
  </sheetViews>
  <sheetFormatPr defaultRowHeight="15" x14ac:dyDescent="0.25"/>
  <cols>
    <col min="1" max="1" width="31.7109375" bestFit="1" customWidth="1"/>
  </cols>
  <sheetData>
    <row r="1" spans="1:1" x14ac:dyDescent="0.25">
      <c r="A1" t="s">
        <v>40</v>
      </c>
    </row>
    <row r="2" spans="1:1" x14ac:dyDescent="0.25">
      <c r="A2" t="s">
        <v>41</v>
      </c>
    </row>
    <row r="3" spans="1:1" x14ac:dyDescent="0.25">
      <c r="A3" t="s">
        <v>42</v>
      </c>
    </row>
    <row r="4" spans="1:1" x14ac:dyDescent="0.25">
      <c r="A4" t="s">
        <v>43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23AB7-ABEF-49AF-9032-AF576B656528}">
  <sheetPr codeName="Sheet3">
    <tabColor theme="9" tint="0.79998168889431442"/>
  </sheetPr>
  <dimension ref="A1:K8"/>
  <sheetViews>
    <sheetView workbookViewId="0">
      <selection activeCell="C20" sqref="C20"/>
    </sheetView>
  </sheetViews>
  <sheetFormatPr defaultRowHeight="15" x14ac:dyDescent="0.25"/>
  <cols>
    <col min="1" max="1" width="18" customWidth="1"/>
    <col min="2" max="2" width="13.5703125" customWidth="1"/>
    <col min="3" max="3" width="31.42578125" bestFit="1" customWidth="1"/>
    <col min="5" max="5" width="9.42578125" bestFit="1" customWidth="1"/>
    <col min="7" max="7" width="20.140625" bestFit="1" customWidth="1"/>
    <col min="8" max="8" width="25.5703125" bestFit="1" customWidth="1"/>
    <col min="9" max="9" width="17" customWidth="1"/>
    <col min="10" max="10" width="11.42578125" customWidth="1"/>
    <col min="11" max="11" width="14.85546875" style="2" customWidth="1"/>
  </cols>
  <sheetData>
    <row r="1" spans="1:11" x14ac:dyDescent="0.25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10" t="s">
        <v>30</v>
      </c>
    </row>
    <row r="2" spans="1:11" x14ac:dyDescent="0.25">
      <c r="A2" s="4" t="s">
        <v>10</v>
      </c>
      <c r="B2" s="1" t="s">
        <v>11</v>
      </c>
      <c r="C2" s="1" t="s">
        <v>12</v>
      </c>
      <c r="D2" s="1">
        <v>5000</v>
      </c>
      <c r="E2" s="3">
        <f>D2/archiwum_tab_a_2024[[#This Row],[1EUR]]</f>
        <v>1171.8933108329816</v>
      </c>
      <c r="F2" s="3">
        <f>D2/archiwum_tab_a_2024[[#This Row],[1USD]]</f>
        <v>1250.5314758772479</v>
      </c>
      <c r="G2" s="1" t="s">
        <v>13</v>
      </c>
      <c r="H2" s="1" t="s">
        <v>14</v>
      </c>
      <c r="I2" s="1" t="s">
        <v>15</v>
      </c>
      <c r="J2" s="1" t="s">
        <v>22</v>
      </c>
      <c r="K2" s="11">
        <v>45364</v>
      </c>
    </row>
    <row r="3" spans="1:11" x14ac:dyDescent="0.25">
      <c r="A3" s="4" t="s">
        <v>16</v>
      </c>
      <c r="B3" s="1" t="s">
        <v>17</v>
      </c>
      <c r="C3" s="1" t="s">
        <v>18</v>
      </c>
      <c r="D3" s="1">
        <v>6000</v>
      </c>
      <c r="E3" s="3" cm="1">
        <f t="array" ref="E3">D3/archiwum_tab_a_2024[1EUR]</f>
        <v>1406.2719729995779</v>
      </c>
      <c r="F3" s="3" cm="1">
        <f t="array" ref="F3">D3/archiwum_tab_a_2024[1USD]</f>
        <v>1500.6377710526974</v>
      </c>
      <c r="G3" s="1" t="s">
        <v>19</v>
      </c>
      <c r="H3" s="1" t="s">
        <v>20</v>
      </c>
      <c r="I3" s="1" t="s">
        <v>15</v>
      </c>
      <c r="J3" s="1" t="s">
        <v>21</v>
      </c>
      <c r="K3" s="11">
        <v>45364</v>
      </c>
    </row>
    <row r="4" spans="1:11" x14ac:dyDescent="0.25">
      <c r="A4" s="4" t="s">
        <v>23</v>
      </c>
      <c r="B4" s="1" t="s">
        <v>24</v>
      </c>
      <c r="C4" s="1" t="s">
        <v>25</v>
      </c>
      <c r="D4" s="1">
        <v>8000</v>
      </c>
      <c r="E4" s="3" cm="1">
        <f t="array" ref="E4">D4/archiwum_tab_a_2024[1EUR]</f>
        <v>1875.0292973327707</v>
      </c>
      <c r="F4" s="3" cm="1">
        <f t="array" ref="F4">D4/archiwum_tab_a_2024[1USD]</f>
        <v>2000.8503614035965</v>
      </c>
      <c r="G4" s="1" t="s">
        <v>13</v>
      </c>
      <c r="H4" s="1" t="s">
        <v>14</v>
      </c>
      <c r="I4" s="1" t="s">
        <v>15</v>
      </c>
      <c r="J4" s="1" t="s">
        <v>22</v>
      </c>
      <c r="K4" s="11">
        <v>45364</v>
      </c>
    </row>
    <row r="5" spans="1:11" x14ac:dyDescent="0.25">
      <c r="A5" s="4" t="s">
        <v>26</v>
      </c>
      <c r="B5" s="1" t="s">
        <v>27</v>
      </c>
      <c r="C5" s="1" t="s">
        <v>28</v>
      </c>
      <c r="D5" s="1">
        <v>5000</v>
      </c>
      <c r="E5" s="3" cm="1">
        <f t="array" ref="E5">D5/archiwum_tab_a_2024[1EUR]</f>
        <v>1171.8933108329816</v>
      </c>
      <c r="F5" s="3" cm="1">
        <f t="array" ref="F5">D5/archiwum_tab_a_2024[1USD]</f>
        <v>1250.5314758772479</v>
      </c>
      <c r="G5" s="1" t="s">
        <v>29</v>
      </c>
      <c r="H5" s="1" t="s">
        <v>14</v>
      </c>
      <c r="I5" s="1" t="s">
        <v>15</v>
      </c>
      <c r="J5" s="1" t="s">
        <v>22</v>
      </c>
      <c r="K5" s="11">
        <v>45395</v>
      </c>
    </row>
    <row r="6" spans="1:11" x14ac:dyDescent="0.25">
      <c r="A6" s="4" t="s">
        <v>10</v>
      </c>
      <c r="B6" s="1" t="s">
        <v>27</v>
      </c>
      <c r="C6" s="1" t="s">
        <v>28</v>
      </c>
      <c r="D6" s="1">
        <v>5000</v>
      </c>
      <c r="E6" s="3" cm="1">
        <f t="array" ref="E6">D6/archiwum_tab_a_2024[1EUR]</f>
        <v>1171.8933108329816</v>
      </c>
      <c r="F6" s="3" cm="1">
        <f t="array" ref="F6">D6/archiwum_tab_a_2024[1USD]</f>
        <v>1250.5314758772479</v>
      </c>
      <c r="G6" s="1" t="s">
        <v>13</v>
      </c>
      <c r="H6" s="1" t="s">
        <v>14</v>
      </c>
      <c r="I6" s="1" t="s">
        <v>15</v>
      </c>
      <c r="J6" s="1" t="s">
        <v>22</v>
      </c>
      <c r="K6" s="11">
        <v>45396</v>
      </c>
    </row>
    <row r="7" spans="1:11" x14ac:dyDescent="0.25">
      <c r="A7" s="4" t="s">
        <v>23</v>
      </c>
      <c r="B7" s="1" t="s">
        <v>27</v>
      </c>
      <c r="C7" s="1" t="s">
        <v>37</v>
      </c>
      <c r="D7" s="1">
        <v>6500</v>
      </c>
      <c r="E7" s="3" cm="1">
        <f t="array" ref="E7">D7/archiwum_tab_a_2024[1EUR]</f>
        <v>1523.4613040828763</v>
      </c>
      <c r="F7" s="3" cm="1">
        <f t="array" ref="F7">D7/archiwum_tab_a_2024[1USD]</f>
        <v>1625.6909186404223</v>
      </c>
      <c r="G7" s="1" t="s">
        <v>13</v>
      </c>
      <c r="H7" s="1" t="s">
        <v>38</v>
      </c>
      <c r="I7" s="1" t="s">
        <v>15</v>
      </c>
      <c r="J7" s="1" t="s">
        <v>22</v>
      </c>
      <c r="K7" s="11">
        <v>45396</v>
      </c>
    </row>
    <row r="8" spans="1:11" x14ac:dyDescent="0.25">
      <c r="A8" s="7" t="s">
        <v>23</v>
      </c>
      <c r="B8" s="8" t="s">
        <v>39</v>
      </c>
      <c r="C8" s="8" t="s">
        <v>37</v>
      </c>
      <c r="D8" s="8">
        <v>7000</v>
      </c>
      <c r="E8" s="9" cm="1">
        <f t="array" ref="E8">D8/archiwum_tab_a_2024[1EUR]</f>
        <v>1640.6506351661744</v>
      </c>
      <c r="F8" s="9" cm="1">
        <f t="array" ref="F8">D8/archiwum_tab_a_2024[1USD]</f>
        <v>1750.7440662281469</v>
      </c>
      <c r="G8" s="8" t="s">
        <v>29</v>
      </c>
      <c r="H8" s="8" t="s">
        <v>14</v>
      </c>
      <c r="I8" s="8" t="s">
        <v>15</v>
      </c>
      <c r="J8" s="8" t="s">
        <v>22</v>
      </c>
      <c r="K8" s="12">
        <v>45396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196A5-5D20-46DF-8968-49260F7BE5B7}">
  <sheetPr codeName="Sheet4"/>
  <dimension ref="A1:C2"/>
  <sheetViews>
    <sheetView workbookViewId="0">
      <selection sqref="A1:C2"/>
    </sheetView>
  </sheetViews>
  <sheetFormatPr defaultRowHeight="15" x14ac:dyDescent="0.25"/>
  <cols>
    <col min="1" max="1" width="9" bestFit="1" customWidth="1"/>
    <col min="2" max="2" width="7.85546875" bestFit="1" customWidth="1"/>
    <col min="3" max="3" width="7.5703125" bestFit="1" customWidth="1"/>
  </cols>
  <sheetData>
    <row r="1" spans="1:3" x14ac:dyDescent="0.25">
      <c r="A1" t="s">
        <v>31</v>
      </c>
      <c r="B1" t="s">
        <v>32</v>
      </c>
      <c r="C1" t="s">
        <v>33</v>
      </c>
    </row>
    <row r="2" spans="1:3" x14ac:dyDescent="0.25">
      <c r="A2" t="s">
        <v>34</v>
      </c>
      <c r="B2" t="s">
        <v>35</v>
      </c>
      <c r="C2" t="s">
        <v>36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CA847-A708-4C82-B9D1-F364D63A4CAF}">
  <dimension ref="A1:L113"/>
  <sheetViews>
    <sheetView tabSelected="1" workbookViewId="0">
      <selection activeCell="C12" sqref="C12"/>
    </sheetView>
  </sheetViews>
  <sheetFormatPr defaultRowHeight="15" x14ac:dyDescent="0.25"/>
  <cols>
    <col min="1" max="1" width="81.140625" bestFit="1" customWidth="1"/>
    <col min="2" max="2" width="71.140625" bestFit="1" customWidth="1"/>
    <col min="3" max="3" width="81.140625" bestFit="1" customWidth="1"/>
    <col min="4" max="4" width="36.7109375" bestFit="1" customWidth="1"/>
    <col min="5" max="5" width="50.85546875" bestFit="1" customWidth="1"/>
    <col min="6" max="6" width="21.140625" bestFit="1" customWidth="1"/>
    <col min="7" max="7" width="43.42578125" bestFit="1" customWidth="1"/>
    <col min="8" max="8" width="45.28515625" bestFit="1" customWidth="1"/>
    <col min="9" max="9" width="15.140625" bestFit="1" customWidth="1"/>
    <col min="10" max="10" width="18.42578125" bestFit="1" customWidth="1"/>
    <col min="11" max="11" width="12.140625" bestFit="1" customWidth="1"/>
    <col min="12" max="12" width="12.42578125" bestFit="1" customWidth="1"/>
  </cols>
  <sheetData>
    <row r="1" spans="1:12" x14ac:dyDescent="0.25">
      <c r="A1" t="s">
        <v>0</v>
      </c>
      <c r="B1" t="s">
        <v>1</v>
      </c>
      <c r="C1" t="s">
        <v>54</v>
      </c>
      <c r="D1" t="s">
        <v>3</v>
      </c>
      <c r="E1" t="s">
        <v>6</v>
      </c>
      <c r="F1" t="s">
        <v>7</v>
      </c>
      <c r="G1" t="s">
        <v>8</v>
      </c>
      <c r="H1" t="s">
        <v>9</v>
      </c>
      <c r="I1" t="s">
        <v>55</v>
      </c>
      <c r="J1" t="s">
        <v>340</v>
      </c>
      <c r="K1" t="s">
        <v>341</v>
      </c>
      <c r="L1" t="s">
        <v>342</v>
      </c>
    </row>
    <row r="2" spans="1:12" x14ac:dyDescent="0.25">
      <c r="A2" s="60" t="s">
        <v>174</v>
      </c>
      <c r="B2" s="60" t="s">
        <v>175</v>
      </c>
      <c r="C2" s="60" t="s">
        <v>176</v>
      </c>
      <c r="D2" s="60" t="s">
        <v>58</v>
      </c>
      <c r="E2" s="60" t="s">
        <v>177</v>
      </c>
      <c r="F2" s="60" t="s">
        <v>60</v>
      </c>
      <c r="G2" s="60" t="s">
        <v>14</v>
      </c>
      <c r="H2" s="60" t="s">
        <v>72</v>
      </c>
      <c r="I2" s="2">
        <v>45432</v>
      </c>
      <c r="J2" t="s">
        <v>58</v>
      </c>
      <c r="K2" t="s">
        <v>58</v>
      </c>
      <c r="L2" t="s">
        <v>58</v>
      </c>
    </row>
    <row r="3" spans="1:12" x14ac:dyDescent="0.25">
      <c r="A3" s="60" t="s">
        <v>174</v>
      </c>
      <c r="B3" s="60" t="s">
        <v>56</v>
      </c>
      <c r="C3" s="60" t="s">
        <v>57</v>
      </c>
      <c r="D3" s="60" t="s">
        <v>58</v>
      </c>
      <c r="E3" s="60" t="s">
        <v>68</v>
      </c>
      <c r="F3" s="60" t="s">
        <v>60</v>
      </c>
      <c r="G3" s="60" t="s">
        <v>61</v>
      </c>
      <c r="H3" s="60" t="s">
        <v>62</v>
      </c>
      <c r="I3" s="2">
        <v>45432</v>
      </c>
      <c r="J3" t="s">
        <v>58</v>
      </c>
      <c r="K3" t="s">
        <v>58</v>
      </c>
      <c r="L3" t="s">
        <v>58</v>
      </c>
    </row>
    <row r="4" spans="1:12" x14ac:dyDescent="0.25">
      <c r="A4" s="60" t="s">
        <v>178</v>
      </c>
      <c r="B4" s="60" t="s">
        <v>120</v>
      </c>
      <c r="C4" s="60" t="s">
        <v>179</v>
      </c>
      <c r="D4" s="60" t="s">
        <v>58</v>
      </c>
      <c r="E4" s="60" t="s">
        <v>180</v>
      </c>
      <c r="F4" s="60" t="s">
        <v>60</v>
      </c>
      <c r="G4" s="60" t="s">
        <v>14</v>
      </c>
      <c r="H4" s="60" t="s">
        <v>62</v>
      </c>
      <c r="I4" s="2">
        <v>45432</v>
      </c>
      <c r="J4" t="s">
        <v>58</v>
      </c>
      <c r="K4" t="s">
        <v>58</v>
      </c>
      <c r="L4" t="s">
        <v>58</v>
      </c>
    </row>
    <row r="5" spans="1:12" x14ac:dyDescent="0.25">
      <c r="A5" s="60" t="s">
        <v>181</v>
      </c>
      <c r="B5" s="60" t="s">
        <v>182</v>
      </c>
      <c r="C5" s="60" t="s">
        <v>183</v>
      </c>
      <c r="D5" s="60" t="s">
        <v>58</v>
      </c>
      <c r="E5" s="60" t="s">
        <v>59</v>
      </c>
      <c r="F5" s="60" t="s">
        <v>60</v>
      </c>
      <c r="G5" s="60" t="s">
        <v>14</v>
      </c>
      <c r="H5" s="60" t="s">
        <v>72</v>
      </c>
      <c r="I5" s="2">
        <v>45432</v>
      </c>
      <c r="J5" t="s">
        <v>58</v>
      </c>
      <c r="K5" t="s">
        <v>58</v>
      </c>
      <c r="L5" t="s">
        <v>58</v>
      </c>
    </row>
    <row r="6" spans="1:12" x14ac:dyDescent="0.25">
      <c r="A6" s="60" t="s">
        <v>184</v>
      </c>
      <c r="B6" s="60" t="s">
        <v>185</v>
      </c>
      <c r="C6" s="60" t="s">
        <v>186</v>
      </c>
      <c r="D6" s="60" t="s">
        <v>58</v>
      </c>
      <c r="E6" s="60" t="s">
        <v>59</v>
      </c>
      <c r="F6" s="60" t="s">
        <v>60</v>
      </c>
      <c r="G6" s="60" t="s">
        <v>14</v>
      </c>
      <c r="H6" s="60" t="s">
        <v>96</v>
      </c>
      <c r="I6" s="2">
        <v>45432</v>
      </c>
      <c r="J6" t="s">
        <v>58</v>
      </c>
      <c r="K6" t="s">
        <v>58</v>
      </c>
      <c r="L6" t="s">
        <v>58</v>
      </c>
    </row>
    <row r="7" spans="1:12" x14ac:dyDescent="0.25">
      <c r="A7" s="60" t="s">
        <v>187</v>
      </c>
      <c r="B7" s="60" t="s">
        <v>73</v>
      </c>
      <c r="C7" s="60" t="s">
        <v>83</v>
      </c>
      <c r="D7" s="60" t="s">
        <v>150</v>
      </c>
      <c r="E7" s="60" t="s">
        <v>59</v>
      </c>
      <c r="F7" s="60" t="s">
        <v>60</v>
      </c>
      <c r="G7" s="60" t="s">
        <v>69</v>
      </c>
      <c r="H7" s="60" t="s">
        <v>72</v>
      </c>
      <c r="I7" s="2">
        <v>45432</v>
      </c>
      <c r="J7" t="s">
        <v>343</v>
      </c>
      <c r="K7">
        <v>17320</v>
      </c>
      <c r="L7">
        <v>22516</v>
      </c>
    </row>
    <row r="8" spans="1:12" x14ac:dyDescent="0.25">
      <c r="A8" s="60" t="s">
        <v>188</v>
      </c>
      <c r="B8" s="60" t="s">
        <v>80</v>
      </c>
      <c r="C8" s="60" t="s">
        <v>189</v>
      </c>
      <c r="D8" s="60" t="s">
        <v>58</v>
      </c>
      <c r="E8" s="60" t="s">
        <v>64</v>
      </c>
      <c r="F8" s="60" t="s">
        <v>60</v>
      </c>
      <c r="G8" s="60" t="s">
        <v>109</v>
      </c>
      <c r="H8" s="60" t="s">
        <v>90</v>
      </c>
      <c r="I8" s="2">
        <v>45432</v>
      </c>
      <c r="J8" t="s">
        <v>58</v>
      </c>
      <c r="K8" t="s">
        <v>58</v>
      </c>
      <c r="L8" t="s">
        <v>58</v>
      </c>
    </row>
    <row r="9" spans="1:12" x14ac:dyDescent="0.25">
      <c r="A9" s="60" t="s">
        <v>190</v>
      </c>
      <c r="B9" s="60" t="s">
        <v>152</v>
      </c>
      <c r="C9" s="60" t="s">
        <v>191</v>
      </c>
      <c r="D9" s="60" t="s">
        <v>58</v>
      </c>
      <c r="E9" s="60" t="s">
        <v>59</v>
      </c>
      <c r="F9" s="60" t="s">
        <v>60</v>
      </c>
      <c r="G9" s="60" t="s">
        <v>14</v>
      </c>
      <c r="H9" s="60" t="s">
        <v>72</v>
      </c>
      <c r="I9" s="2">
        <v>45432</v>
      </c>
      <c r="J9" t="s">
        <v>58</v>
      </c>
      <c r="K9" t="s">
        <v>58</v>
      </c>
      <c r="L9" t="s">
        <v>58</v>
      </c>
    </row>
    <row r="10" spans="1:12" x14ac:dyDescent="0.25">
      <c r="A10" s="60" t="s">
        <v>192</v>
      </c>
      <c r="B10" s="60" t="s">
        <v>77</v>
      </c>
      <c r="C10" s="60" t="s">
        <v>193</v>
      </c>
      <c r="D10" s="60" t="s">
        <v>58</v>
      </c>
      <c r="E10" s="60" t="s">
        <v>68</v>
      </c>
      <c r="F10" s="60" t="s">
        <v>60</v>
      </c>
      <c r="G10" s="60" t="s">
        <v>61</v>
      </c>
      <c r="H10" s="60" t="s">
        <v>72</v>
      </c>
      <c r="I10" s="2">
        <v>45432</v>
      </c>
      <c r="J10" t="s">
        <v>58</v>
      </c>
      <c r="K10" t="s">
        <v>58</v>
      </c>
      <c r="L10" t="s">
        <v>58</v>
      </c>
    </row>
    <row r="11" spans="1:12" x14ac:dyDescent="0.25">
      <c r="A11" s="60" t="s">
        <v>194</v>
      </c>
      <c r="B11" s="60" t="s">
        <v>75</v>
      </c>
      <c r="C11" s="60" t="s">
        <v>195</v>
      </c>
      <c r="D11" s="60" t="s">
        <v>58</v>
      </c>
      <c r="E11" s="60" t="s">
        <v>59</v>
      </c>
      <c r="F11" s="60" t="s">
        <v>60</v>
      </c>
      <c r="G11" s="60" t="s">
        <v>69</v>
      </c>
      <c r="H11" s="60" t="s">
        <v>72</v>
      </c>
      <c r="I11" s="2">
        <v>45432</v>
      </c>
      <c r="J11" t="s">
        <v>58</v>
      </c>
      <c r="K11" t="s">
        <v>58</v>
      </c>
      <c r="L11" t="s">
        <v>58</v>
      </c>
    </row>
    <row r="12" spans="1:12" x14ac:dyDescent="0.25">
      <c r="A12" s="60" t="s">
        <v>196</v>
      </c>
      <c r="B12" s="60" t="s">
        <v>197</v>
      </c>
      <c r="C12" s="60" t="s">
        <v>83</v>
      </c>
      <c r="D12" s="60" t="s">
        <v>84</v>
      </c>
      <c r="E12" s="60" t="s">
        <v>59</v>
      </c>
      <c r="F12" s="60" t="s">
        <v>60</v>
      </c>
      <c r="G12" s="60" t="s">
        <v>69</v>
      </c>
      <c r="H12" s="60" t="s">
        <v>72</v>
      </c>
      <c r="I12" s="2">
        <v>45432</v>
      </c>
      <c r="J12" t="s">
        <v>343</v>
      </c>
      <c r="K12">
        <v>20784</v>
      </c>
      <c r="L12">
        <v>24248</v>
      </c>
    </row>
    <row r="13" spans="1:12" x14ac:dyDescent="0.25">
      <c r="A13" s="60" t="s">
        <v>23</v>
      </c>
      <c r="B13" s="60" t="s">
        <v>66</v>
      </c>
      <c r="C13" s="60" t="s">
        <v>25</v>
      </c>
      <c r="D13" s="60" t="s">
        <v>58</v>
      </c>
      <c r="E13" s="60" t="s">
        <v>59</v>
      </c>
      <c r="F13" s="60" t="s">
        <v>60</v>
      </c>
      <c r="G13" s="60" t="s">
        <v>14</v>
      </c>
      <c r="H13" s="60" t="s">
        <v>72</v>
      </c>
      <c r="I13" s="2">
        <v>45432</v>
      </c>
      <c r="J13" t="s">
        <v>58</v>
      </c>
      <c r="K13" t="s">
        <v>58</v>
      </c>
      <c r="L13" t="s">
        <v>58</v>
      </c>
    </row>
    <row r="14" spans="1:12" x14ac:dyDescent="0.25">
      <c r="A14" s="60" t="s">
        <v>198</v>
      </c>
      <c r="B14" s="60" t="s">
        <v>199</v>
      </c>
      <c r="C14" s="60" t="s">
        <v>200</v>
      </c>
      <c r="D14" s="60" t="s">
        <v>58</v>
      </c>
      <c r="E14" s="60" t="s">
        <v>59</v>
      </c>
      <c r="F14" s="60" t="s">
        <v>60</v>
      </c>
      <c r="G14" s="60" t="s">
        <v>81</v>
      </c>
      <c r="H14" s="60" t="s">
        <v>62</v>
      </c>
      <c r="I14" s="2">
        <v>45432</v>
      </c>
      <c r="J14" t="s">
        <v>58</v>
      </c>
      <c r="K14" t="s">
        <v>58</v>
      </c>
      <c r="L14" t="s">
        <v>58</v>
      </c>
    </row>
    <row r="15" spans="1:12" x14ac:dyDescent="0.25">
      <c r="A15" s="60" t="s">
        <v>201</v>
      </c>
      <c r="B15" s="60" t="s">
        <v>116</v>
      </c>
      <c r="C15" s="60" t="s">
        <v>202</v>
      </c>
      <c r="D15" s="60" t="s">
        <v>58</v>
      </c>
      <c r="E15" s="60" t="s">
        <v>68</v>
      </c>
      <c r="F15" s="60" t="s">
        <v>60</v>
      </c>
      <c r="G15" s="60" t="s">
        <v>14</v>
      </c>
      <c r="H15" s="60" t="s">
        <v>72</v>
      </c>
      <c r="I15" s="2">
        <v>45432</v>
      </c>
      <c r="J15" t="s">
        <v>58</v>
      </c>
      <c r="K15" t="s">
        <v>58</v>
      </c>
      <c r="L15" t="s">
        <v>58</v>
      </c>
    </row>
    <row r="16" spans="1:12" x14ac:dyDescent="0.25">
      <c r="A16" s="60" t="s">
        <v>203</v>
      </c>
      <c r="B16" s="60" t="s">
        <v>97</v>
      </c>
      <c r="C16" s="60" t="s">
        <v>98</v>
      </c>
      <c r="D16" s="60" t="s">
        <v>58</v>
      </c>
      <c r="E16" s="60" t="s">
        <v>59</v>
      </c>
      <c r="F16" s="60" t="s">
        <v>60</v>
      </c>
      <c r="G16" s="60" t="s">
        <v>14</v>
      </c>
      <c r="H16" s="60" t="s">
        <v>62</v>
      </c>
      <c r="I16" s="2">
        <v>45432</v>
      </c>
      <c r="J16" t="s">
        <v>58</v>
      </c>
      <c r="K16" t="s">
        <v>58</v>
      </c>
      <c r="L16" t="s">
        <v>58</v>
      </c>
    </row>
    <row r="17" spans="1:12" x14ac:dyDescent="0.25">
      <c r="A17" s="60" t="s">
        <v>204</v>
      </c>
      <c r="B17" s="60" t="s">
        <v>205</v>
      </c>
      <c r="C17" s="60" t="s">
        <v>206</v>
      </c>
      <c r="D17" s="60" t="s">
        <v>58</v>
      </c>
      <c r="E17" s="60" t="s">
        <v>59</v>
      </c>
      <c r="F17" s="60" t="s">
        <v>60</v>
      </c>
      <c r="G17" s="60" t="s">
        <v>14</v>
      </c>
      <c r="H17" s="60" t="s">
        <v>72</v>
      </c>
      <c r="I17" s="2">
        <v>45432</v>
      </c>
      <c r="J17" t="s">
        <v>58</v>
      </c>
      <c r="K17" t="s">
        <v>58</v>
      </c>
      <c r="L17" t="s">
        <v>58</v>
      </c>
    </row>
    <row r="18" spans="1:12" x14ac:dyDescent="0.25">
      <c r="A18" s="60" t="s">
        <v>207</v>
      </c>
      <c r="B18" s="60" t="s">
        <v>75</v>
      </c>
      <c r="C18" s="60" t="s">
        <v>206</v>
      </c>
      <c r="D18" s="60" t="s">
        <v>58</v>
      </c>
      <c r="E18" s="60" t="s">
        <v>59</v>
      </c>
      <c r="F18" s="60" t="s">
        <v>60</v>
      </c>
      <c r="G18" s="60" t="s">
        <v>14</v>
      </c>
      <c r="H18" s="60" t="s">
        <v>72</v>
      </c>
      <c r="I18" s="2">
        <v>45432</v>
      </c>
      <c r="J18" t="s">
        <v>58</v>
      </c>
      <c r="K18" t="s">
        <v>58</v>
      </c>
      <c r="L18" t="s">
        <v>58</v>
      </c>
    </row>
    <row r="19" spans="1:12" x14ac:dyDescent="0.25">
      <c r="A19" s="60" t="s">
        <v>174</v>
      </c>
      <c r="B19" s="60" t="s">
        <v>88</v>
      </c>
      <c r="C19" s="60" t="s">
        <v>89</v>
      </c>
      <c r="D19" s="60" t="s">
        <v>58</v>
      </c>
      <c r="E19" s="60" t="s">
        <v>68</v>
      </c>
      <c r="F19" s="60" t="s">
        <v>60</v>
      </c>
      <c r="G19" s="60" t="s">
        <v>14</v>
      </c>
      <c r="H19" s="60" t="s">
        <v>65</v>
      </c>
      <c r="I19" s="2">
        <v>45432</v>
      </c>
      <c r="J19" t="s">
        <v>58</v>
      </c>
      <c r="K19" t="s">
        <v>58</v>
      </c>
      <c r="L19" t="s">
        <v>58</v>
      </c>
    </row>
    <row r="20" spans="1:12" x14ac:dyDescent="0.25">
      <c r="A20" s="60" t="s">
        <v>208</v>
      </c>
      <c r="B20" s="60" t="s">
        <v>73</v>
      </c>
      <c r="C20" s="60" t="s">
        <v>209</v>
      </c>
      <c r="D20" s="60" t="s">
        <v>58</v>
      </c>
      <c r="E20" s="60" t="s">
        <v>59</v>
      </c>
      <c r="F20" s="60" t="s">
        <v>60</v>
      </c>
      <c r="G20" s="60" t="s">
        <v>14</v>
      </c>
      <c r="H20" s="60" t="s">
        <v>72</v>
      </c>
      <c r="I20" s="2">
        <v>45432</v>
      </c>
      <c r="J20" t="s">
        <v>58</v>
      </c>
      <c r="K20" t="s">
        <v>58</v>
      </c>
      <c r="L20" t="s">
        <v>58</v>
      </c>
    </row>
    <row r="21" spans="1:12" x14ac:dyDescent="0.25">
      <c r="A21" s="60" t="s">
        <v>210</v>
      </c>
      <c r="B21" s="60" t="s">
        <v>156</v>
      </c>
      <c r="C21" s="60" t="s">
        <v>211</v>
      </c>
      <c r="D21" s="60" t="s">
        <v>58</v>
      </c>
      <c r="E21" s="60" t="s">
        <v>59</v>
      </c>
      <c r="F21" s="60" t="s">
        <v>60</v>
      </c>
      <c r="G21" s="60" t="s">
        <v>14</v>
      </c>
      <c r="H21" s="60" t="s">
        <v>96</v>
      </c>
      <c r="I21" s="2">
        <v>45432</v>
      </c>
      <c r="J21" t="s">
        <v>58</v>
      </c>
      <c r="K21" t="s">
        <v>58</v>
      </c>
      <c r="L21" t="s">
        <v>58</v>
      </c>
    </row>
    <row r="22" spans="1:12" x14ac:dyDescent="0.25">
      <c r="A22" s="60" t="s">
        <v>212</v>
      </c>
      <c r="B22" s="60" t="s">
        <v>75</v>
      </c>
      <c r="C22" s="60" t="s">
        <v>213</v>
      </c>
      <c r="D22" s="60" t="s">
        <v>214</v>
      </c>
      <c r="E22" s="60" t="s">
        <v>59</v>
      </c>
      <c r="F22" s="60" t="s">
        <v>60</v>
      </c>
      <c r="G22" s="60" t="s">
        <v>14</v>
      </c>
      <c r="H22" s="60" t="s">
        <v>72</v>
      </c>
      <c r="I22" s="2">
        <v>45432</v>
      </c>
      <c r="J22" t="s">
        <v>344</v>
      </c>
      <c r="K22">
        <v>14000</v>
      </c>
      <c r="L22">
        <v>18000</v>
      </c>
    </row>
    <row r="23" spans="1:12" x14ac:dyDescent="0.25">
      <c r="A23" s="60" t="s">
        <v>207</v>
      </c>
      <c r="B23" s="60" t="s">
        <v>80</v>
      </c>
      <c r="C23" s="60" t="s">
        <v>215</v>
      </c>
      <c r="D23" s="60" t="s">
        <v>58</v>
      </c>
      <c r="E23" s="60" t="s">
        <v>79</v>
      </c>
      <c r="F23" s="60" t="s">
        <v>60</v>
      </c>
      <c r="G23" s="60" t="s">
        <v>109</v>
      </c>
      <c r="H23" s="60" t="s">
        <v>105</v>
      </c>
      <c r="I23" s="2">
        <v>45432</v>
      </c>
      <c r="J23" t="s">
        <v>58</v>
      </c>
      <c r="K23" t="s">
        <v>58</v>
      </c>
      <c r="L23" t="s">
        <v>58</v>
      </c>
    </row>
    <row r="24" spans="1:12" x14ac:dyDescent="0.25">
      <c r="A24" s="60" t="s">
        <v>204</v>
      </c>
      <c r="B24" s="60" t="s">
        <v>91</v>
      </c>
      <c r="C24" s="60" t="s">
        <v>101</v>
      </c>
      <c r="D24" s="60" t="s">
        <v>102</v>
      </c>
      <c r="E24" s="60" t="s">
        <v>59</v>
      </c>
      <c r="F24" s="60" t="s">
        <v>60</v>
      </c>
      <c r="G24" s="60" t="s">
        <v>69</v>
      </c>
      <c r="H24" s="60" t="s">
        <v>70</v>
      </c>
      <c r="I24" s="2">
        <v>45432</v>
      </c>
      <c r="J24" t="s">
        <v>343</v>
      </c>
      <c r="K24">
        <v>22000</v>
      </c>
      <c r="L24">
        <v>24000</v>
      </c>
    </row>
    <row r="25" spans="1:12" x14ac:dyDescent="0.25">
      <c r="A25" s="60" t="s">
        <v>216</v>
      </c>
      <c r="B25" s="60" t="s">
        <v>73</v>
      </c>
      <c r="C25" s="60" t="s">
        <v>76</v>
      </c>
      <c r="D25" s="60" t="s">
        <v>217</v>
      </c>
      <c r="E25" s="60" t="s">
        <v>59</v>
      </c>
      <c r="F25" s="60" t="s">
        <v>60</v>
      </c>
      <c r="G25" s="60" t="s">
        <v>69</v>
      </c>
      <c r="H25" s="60" t="s">
        <v>72</v>
      </c>
      <c r="I25" s="2">
        <v>45432</v>
      </c>
      <c r="J25" t="s">
        <v>343</v>
      </c>
      <c r="K25">
        <v>19052</v>
      </c>
      <c r="L25">
        <v>24248</v>
      </c>
    </row>
    <row r="26" spans="1:12" x14ac:dyDescent="0.25">
      <c r="A26" s="60" t="s">
        <v>218</v>
      </c>
      <c r="B26" s="60" t="s">
        <v>219</v>
      </c>
      <c r="C26" s="60" t="s">
        <v>220</v>
      </c>
      <c r="D26" s="60" t="s">
        <v>58</v>
      </c>
      <c r="E26" s="60" t="s">
        <v>59</v>
      </c>
      <c r="F26" s="60" t="s">
        <v>60</v>
      </c>
      <c r="G26" s="60" t="s">
        <v>14</v>
      </c>
      <c r="H26" s="60" t="s">
        <v>96</v>
      </c>
      <c r="I26" s="2">
        <v>45432</v>
      </c>
      <c r="J26" t="s">
        <v>58</v>
      </c>
      <c r="K26" t="s">
        <v>58</v>
      </c>
      <c r="L26" t="s">
        <v>58</v>
      </c>
    </row>
    <row r="27" spans="1:12" x14ac:dyDescent="0.25">
      <c r="A27" s="60" t="s">
        <v>221</v>
      </c>
      <c r="B27" s="60" t="s">
        <v>103</v>
      </c>
      <c r="C27" s="60" t="s">
        <v>104</v>
      </c>
      <c r="D27" s="60" t="s">
        <v>58</v>
      </c>
      <c r="E27" s="60" t="s">
        <v>79</v>
      </c>
      <c r="F27" s="60" t="s">
        <v>60</v>
      </c>
      <c r="G27" s="60" t="s">
        <v>61</v>
      </c>
      <c r="H27" s="60" t="s">
        <v>105</v>
      </c>
      <c r="I27" s="2">
        <v>45432</v>
      </c>
      <c r="J27" t="s">
        <v>58</v>
      </c>
      <c r="K27" t="s">
        <v>58</v>
      </c>
      <c r="L27" t="s">
        <v>58</v>
      </c>
    </row>
    <row r="28" spans="1:12" x14ac:dyDescent="0.25">
      <c r="A28" s="60" t="s">
        <v>222</v>
      </c>
      <c r="B28" s="60" t="s">
        <v>106</v>
      </c>
      <c r="C28" s="60" t="s">
        <v>107</v>
      </c>
      <c r="D28" s="60" t="s">
        <v>108</v>
      </c>
      <c r="E28" s="60" t="s">
        <v>59</v>
      </c>
      <c r="F28" s="60" t="s">
        <v>60</v>
      </c>
      <c r="G28" s="60" t="s">
        <v>109</v>
      </c>
      <c r="H28" s="60" t="s">
        <v>72</v>
      </c>
      <c r="I28" s="2">
        <v>45432</v>
      </c>
      <c r="J28" t="s">
        <v>345</v>
      </c>
      <c r="K28">
        <v>7000</v>
      </c>
      <c r="L28">
        <v>12000</v>
      </c>
    </row>
    <row r="29" spans="1:12" x14ac:dyDescent="0.25">
      <c r="A29" s="60" t="s">
        <v>223</v>
      </c>
      <c r="B29" s="60" t="s">
        <v>224</v>
      </c>
      <c r="C29" s="60" t="s">
        <v>225</v>
      </c>
      <c r="D29" s="60" t="s">
        <v>58</v>
      </c>
      <c r="E29" s="60" t="s">
        <v>59</v>
      </c>
      <c r="F29" s="60" t="s">
        <v>60</v>
      </c>
      <c r="G29" s="60" t="s">
        <v>61</v>
      </c>
      <c r="H29" s="60" t="s">
        <v>72</v>
      </c>
      <c r="I29" s="2">
        <v>45432</v>
      </c>
      <c r="J29" t="s">
        <v>58</v>
      </c>
      <c r="K29" t="s">
        <v>58</v>
      </c>
      <c r="L29" t="s">
        <v>58</v>
      </c>
    </row>
    <row r="30" spans="1:12" x14ac:dyDescent="0.25">
      <c r="A30" s="60" t="s">
        <v>226</v>
      </c>
      <c r="B30" s="60" t="s">
        <v>94</v>
      </c>
      <c r="C30" s="60" t="s">
        <v>227</v>
      </c>
      <c r="D30" s="60" t="s">
        <v>228</v>
      </c>
      <c r="E30" s="60" t="s">
        <v>79</v>
      </c>
      <c r="F30" s="60" t="s">
        <v>60</v>
      </c>
      <c r="G30" s="60" t="s">
        <v>61</v>
      </c>
      <c r="H30" s="60" t="s">
        <v>100</v>
      </c>
      <c r="I30" s="2">
        <v>45432</v>
      </c>
      <c r="J30" t="s">
        <v>345</v>
      </c>
      <c r="K30">
        <v>12000</v>
      </c>
      <c r="L30">
        <v>19000</v>
      </c>
    </row>
    <row r="31" spans="1:12" x14ac:dyDescent="0.25">
      <c r="A31" s="60" t="s">
        <v>229</v>
      </c>
      <c r="B31" s="60" t="s">
        <v>80</v>
      </c>
      <c r="C31" s="60" t="s">
        <v>230</v>
      </c>
      <c r="D31" s="60" t="s">
        <v>58</v>
      </c>
      <c r="E31" s="60" t="s">
        <v>59</v>
      </c>
      <c r="F31" s="60" t="s">
        <v>60</v>
      </c>
      <c r="G31" s="60" t="s">
        <v>69</v>
      </c>
      <c r="H31" s="60" t="s">
        <v>70</v>
      </c>
      <c r="I31" s="2">
        <v>45432</v>
      </c>
      <c r="J31" t="s">
        <v>58</v>
      </c>
      <c r="K31" t="s">
        <v>58</v>
      </c>
      <c r="L31" t="s">
        <v>58</v>
      </c>
    </row>
    <row r="32" spans="1:12" x14ac:dyDescent="0.25">
      <c r="A32" s="60" t="s">
        <v>231</v>
      </c>
      <c r="B32" s="60" t="s">
        <v>133</v>
      </c>
      <c r="C32" s="60" t="s">
        <v>172</v>
      </c>
      <c r="D32" s="60" t="s">
        <v>58</v>
      </c>
      <c r="E32" s="60" t="s">
        <v>68</v>
      </c>
      <c r="F32" s="60" t="s">
        <v>60</v>
      </c>
      <c r="G32" s="60" t="s">
        <v>14</v>
      </c>
      <c r="H32" s="60" t="s">
        <v>96</v>
      </c>
      <c r="I32" s="2">
        <v>45432</v>
      </c>
      <c r="J32" t="s">
        <v>58</v>
      </c>
      <c r="K32" t="s">
        <v>58</v>
      </c>
      <c r="L32" t="s">
        <v>58</v>
      </c>
    </row>
    <row r="33" spans="1:12" x14ac:dyDescent="0.25">
      <c r="A33" s="60" t="s">
        <v>232</v>
      </c>
      <c r="B33" s="60" t="s">
        <v>71</v>
      </c>
      <c r="C33" s="60" t="s">
        <v>233</v>
      </c>
      <c r="D33" s="60" t="s">
        <v>58</v>
      </c>
      <c r="E33" s="60" t="s">
        <v>59</v>
      </c>
      <c r="F33" s="60" t="s">
        <v>60</v>
      </c>
      <c r="G33" s="60" t="s">
        <v>14</v>
      </c>
      <c r="H33" s="60" t="s">
        <v>72</v>
      </c>
      <c r="I33" s="2">
        <v>45432</v>
      </c>
      <c r="J33" t="s">
        <v>58</v>
      </c>
      <c r="K33" t="s">
        <v>58</v>
      </c>
      <c r="L33" t="s">
        <v>58</v>
      </c>
    </row>
    <row r="34" spans="1:12" x14ac:dyDescent="0.25">
      <c r="A34" s="60" t="s">
        <v>234</v>
      </c>
      <c r="B34" s="60" t="s">
        <v>116</v>
      </c>
      <c r="C34" s="60" t="s">
        <v>235</v>
      </c>
      <c r="D34" s="60" t="s">
        <v>58</v>
      </c>
      <c r="E34" s="60" t="s">
        <v>59</v>
      </c>
      <c r="F34" s="60" t="s">
        <v>60</v>
      </c>
      <c r="G34" s="60" t="s">
        <v>61</v>
      </c>
      <c r="H34" s="60" t="s">
        <v>62</v>
      </c>
      <c r="I34" s="2">
        <v>45432</v>
      </c>
      <c r="J34" t="s">
        <v>58</v>
      </c>
      <c r="K34" t="s">
        <v>58</v>
      </c>
      <c r="L34" t="s">
        <v>58</v>
      </c>
    </row>
    <row r="35" spans="1:12" x14ac:dyDescent="0.25">
      <c r="A35" s="60" t="s">
        <v>236</v>
      </c>
      <c r="B35" s="60" t="s">
        <v>237</v>
      </c>
      <c r="C35" s="60" t="s">
        <v>238</v>
      </c>
      <c r="D35" s="60" t="s">
        <v>58</v>
      </c>
      <c r="E35" s="60" t="s">
        <v>239</v>
      </c>
      <c r="F35" s="60" t="s">
        <v>60</v>
      </c>
      <c r="G35" s="60" t="s">
        <v>61</v>
      </c>
      <c r="H35" s="60" t="s">
        <v>62</v>
      </c>
      <c r="I35" s="2">
        <v>45432</v>
      </c>
      <c r="J35" t="s">
        <v>58</v>
      </c>
      <c r="K35" t="s">
        <v>58</v>
      </c>
      <c r="L35" t="s">
        <v>58</v>
      </c>
    </row>
    <row r="36" spans="1:12" x14ac:dyDescent="0.25">
      <c r="A36" s="60" t="s">
        <v>240</v>
      </c>
      <c r="B36" s="60" t="s">
        <v>71</v>
      </c>
      <c r="C36" s="60" t="s">
        <v>241</v>
      </c>
      <c r="D36" s="60" t="s">
        <v>155</v>
      </c>
      <c r="E36" s="60" t="s">
        <v>59</v>
      </c>
      <c r="F36" s="60" t="s">
        <v>60</v>
      </c>
      <c r="G36" s="60" t="s">
        <v>69</v>
      </c>
      <c r="H36" s="60" t="s">
        <v>72</v>
      </c>
      <c r="I36" s="2">
        <v>45432</v>
      </c>
      <c r="J36" t="s">
        <v>343</v>
      </c>
      <c r="K36">
        <v>15587.999999999998</v>
      </c>
      <c r="L36">
        <v>19052</v>
      </c>
    </row>
    <row r="37" spans="1:12" x14ac:dyDescent="0.25">
      <c r="A37" s="60" t="s">
        <v>242</v>
      </c>
      <c r="B37" s="60" t="s">
        <v>243</v>
      </c>
      <c r="C37" s="60" t="s">
        <v>244</v>
      </c>
      <c r="D37" s="60" t="s">
        <v>245</v>
      </c>
      <c r="E37" s="60" t="s">
        <v>59</v>
      </c>
      <c r="F37" s="60" t="s">
        <v>60</v>
      </c>
      <c r="G37" s="60" t="s">
        <v>14</v>
      </c>
      <c r="H37" s="60" t="s">
        <v>100</v>
      </c>
      <c r="I37" s="2">
        <v>45432</v>
      </c>
      <c r="J37" t="s">
        <v>344</v>
      </c>
      <c r="K37">
        <v>10000</v>
      </c>
      <c r="L37">
        <v>20000</v>
      </c>
    </row>
    <row r="38" spans="1:12" x14ac:dyDescent="0.25">
      <c r="A38" s="60" t="s">
        <v>246</v>
      </c>
      <c r="B38" s="60" t="s">
        <v>156</v>
      </c>
      <c r="C38" s="60" t="s">
        <v>247</v>
      </c>
      <c r="D38" s="60" t="s">
        <v>58</v>
      </c>
      <c r="E38" s="60" t="s">
        <v>64</v>
      </c>
      <c r="F38" s="60" t="s">
        <v>60</v>
      </c>
      <c r="G38" s="60" t="s">
        <v>109</v>
      </c>
      <c r="H38" s="60" t="s">
        <v>72</v>
      </c>
      <c r="I38" s="2">
        <v>45432</v>
      </c>
      <c r="J38" t="s">
        <v>58</v>
      </c>
      <c r="K38" t="s">
        <v>58</v>
      </c>
      <c r="L38" t="s">
        <v>58</v>
      </c>
    </row>
    <row r="39" spans="1:12" x14ac:dyDescent="0.25">
      <c r="A39" s="60" t="s">
        <v>248</v>
      </c>
      <c r="B39" s="60" t="s">
        <v>88</v>
      </c>
      <c r="C39" s="60" t="s">
        <v>89</v>
      </c>
      <c r="D39" s="60" t="s">
        <v>58</v>
      </c>
      <c r="E39" s="60" t="s">
        <v>59</v>
      </c>
      <c r="F39" s="60" t="s">
        <v>60</v>
      </c>
      <c r="G39" s="60" t="s">
        <v>14</v>
      </c>
      <c r="H39" s="60" t="s">
        <v>65</v>
      </c>
      <c r="I39" s="2">
        <v>45432</v>
      </c>
      <c r="J39" t="s">
        <v>58</v>
      </c>
      <c r="K39" t="s">
        <v>58</v>
      </c>
      <c r="L39" t="s">
        <v>58</v>
      </c>
    </row>
    <row r="40" spans="1:12" x14ac:dyDescent="0.25">
      <c r="A40" s="60" t="s">
        <v>249</v>
      </c>
      <c r="B40" s="60" t="s">
        <v>91</v>
      </c>
      <c r="C40" s="60" t="s">
        <v>165</v>
      </c>
      <c r="D40" s="60" t="s">
        <v>250</v>
      </c>
      <c r="E40" s="60" t="s">
        <v>59</v>
      </c>
      <c r="F40" s="60" t="s">
        <v>60</v>
      </c>
      <c r="G40" s="60" t="s">
        <v>69</v>
      </c>
      <c r="H40" s="60" t="s">
        <v>72</v>
      </c>
      <c r="I40" s="2">
        <v>45432</v>
      </c>
      <c r="J40" t="s">
        <v>343</v>
      </c>
      <c r="K40">
        <v>19052</v>
      </c>
      <c r="L40">
        <v>22516</v>
      </c>
    </row>
    <row r="41" spans="1:12" x14ac:dyDescent="0.25">
      <c r="A41" s="60" t="s">
        <v>223</v>
      </c>
      <c r="B41" s="60" t="s">
        <v>251</v>
      </c>
      <c r="C41" s="60" t="s">
        <v>252</v>
      </c>
      <c r="D41" s="60" t="s">
        <v>58</v>
      </c>
      <c r="E41" s="60" t="s">
        <v>59</v>
      </c>
      <c r="F41" s="60" t="s">
        <v>60</v>
      </c>
      <c r="G41" s="60" t="s">
        <v>61</v>
      </c>
      <c r="H41" s="60" t="s">
        <v>70</v>
      </c>
      <c r="I41" s="2">
        <v>45432</v>
      </c>
      <c r="J41" t="s">
        <v>58</v>
      </c>
      <c r="K41" t="s">
        <v>58</v>
      </c>
      <c r="L41" t="s">
        <v>58</v>
      </c>
    </row>
    <row r="42" spans="1:12" x14ac:dyDescent="0.25">
      <c r="A42" s="60" t="s">
        <v>253</v>
      </c>
      <c r="B42" s="60" t="s">
        <v>254</v>
      </c>
      <c r="C42" s="60" t="s">
        <v>255</v>
      </c>
      <c r="D42" s="60" t="s">
        <v>58</v>
      </c>
      <c r="E42" s="60" t="s">
        <v>59</v>
      </c>
      <c r="F42" s="60" t="s">
        <v>60</v>
      </c>
      <c r="G42" s="60" t="s">
        <v>14</v>
      </c>
      <c r="H42" s="60" t="s">
        <v>72</v>
      </c>
      <c r="I42" s="2">
        <v>45432</v>
      </c>
      <c r="J42" t="s">
        <v>58</v>
      </c>
      <c r="K42" t="s">
        <v>58</v>
      </c>
      <c r="L42" t="s">
        <v>58</v>
      </c>
    </row>
    <row r="43" spans="1:12" x14ac:dyDescent="0.25">
      <c r="A43" s="60" t="s">
        <v>256</v>
      </c>
      <c r="B43" s="60" t="s">
        <v>257</v>
      </c>
      <c r="C43" s="60" t="s">
        <v>258</v>
      </c>
      <c r="D43" s="60" t="s">
        <v>58</v>
      </c>
      <c r="E43" s="60" t="s">
        <v>59</v>
      </c>
      <c r="F43" s="60" t="s">
        <v>60</v>
      </c>
      <c r="G43" s="60" t="s">
        <v>14</v>
      </c>
      <c r="H43" s="60" t="s">
        <v>65</v>
      </c>
      <c r="I43" s="2">
        <v>45432</v>
      </c>
      <c r="J43" t="s">
        <v>58</v>
      </c>
      <c r="K43" t="s">
        <v>58</v>
      </c>
      <c r="L43" t="s">
        <v>58</v>
      </c>
    </row>
    <row r="44" spans="1:12" x14ac:dyDescent="0.25">
      <c r="A44" s="60" t="s">
        <v>259</v>
      </c>
      <c r="B44" s="60" t="s">
        <v>197</v>
      </c>
      <c r="C44" s="60" t="s">
        <v>83</v>
      </c>
      <c r="D44" s="60" t="s">
        <v>260</v>
      </c>
      <c r="E44" s="60" t="s">
        <v>59</v>
      </c>
      <c r="F44" s="60" t="s">
        <v>60</v>
      </c>
      <c r="G44" s="60" t="s">
        <v>69</v>
      </c>
      <c r="H44" s="60" t="s">
        <v>72</v>
      </c>
      <c r="I44" s="2">
        <v>45432</v>
      </c>
      <c r="J44" t="s">
        <v>343</v>
      </c>
      <c r="K44">
        <v>24248</v>
      </c>
    </row>
    <row r="45" spans="1:12" x14ac:dyDescent="0.25">
      <c r="A45" s="60" t="s">
        <v>261</v>
      </c>
      <c r="B45" s="60" t="s">
        <v>86</v>
      </c>
      <c r="C45" s="60" t="s">
        <v>87</v>
      </c>
      <c r="D45" s="60" t="s">
        <v>58</v>
      </c>
      <c r="E45" s="60" t="s">
        <v>74</v>
      </c>
      <c r="F45" s="60" t="s">
        <v>60</v>
      </c>
      <c r="G45" s="60" t="s">
        <v>14</v>
      </c>
      <c r="H45" s="60" t="s">
        <v>72</v>
      </c>
      <c r="I45" s="2">
        <v>45432</v>
      </c>
      <c r="J45" t="s">
        <v>58</v>
      </c>
      <c r="K45" t="s">
        <v>58</v>
      </c>
      <c r="L45" t="s">
        <v>58</v>
      </c>
    </row>
    <row r="46" spans="1:12" x14ac:dyDescent="0.25">
      <c r="A46" s="60" t="s">
        <v>262</v>
      </c>
      <c r="B46" s="60" t="s">
        <v>263</v>
      </c>
      <c r="C46" s="60" t="s">
        <v>264</v>
      </c>
      <c r="D46" s="60" t="s">
        <v>58</v>
      </c>
      <c r="E46" s="60" t="s">
        <v>74</v>
      </c>
      <c r="F46" s="60" t="s">
        <v>60</v>
      </c>
      <c r="G46" s="60" t="s">
        <v>14</v>
      </c>
      <c r="H46" s="60" t="s">
        <v>72</v>
      </c>
      <c r="I46" s="2">
        <v>45432</v>
      </c>
      <c r="J46" t="s">
        <v>58</v>
      </c>
      <c r="K46" t="s">
        <v>58</v>
      </c>
      <c r="L46" t="s">
        <v>58</v>
      </c>
    </row>
    <row r="47" spans="1:12" x14ac:dyDescent="0.25">
      <c r="A47" s="60" t="s">
        <v>249</v>
      </c>
      <c r="B47" s="60" t="s">
        <v>137</v>
      </c>
      <c r="C47" s="60" t="s">
        <v>265</v>
      </c>
      <c r="D47" s="60" t="s">
        <v>58</v>
      </c>
      <c r="E47" s="60" t="s">
        <v>59</v>
      </c>
      <c r="F47" s="60" t="s">
        <v>60</v>
      </c>
      <c r="G47" s="60" t="s">
        <v>14</v>
      </c>
      <c r="H47" s="60" t="s">
        <v>72</v>
      </c>
      <c r="I47" s="2">
        <v>45432</v>
      </c>
      <c r="J47" t="s">
        <v>58</v>
      </c>
      <c r="K47" t="s">
        <v>58</v>
      </c>
      <c r="L47" t="s">
        <v>58</v>
      </c>
    </row>
    <row r="48" spans="1:12" x14ac:dyDescent="0.25">
      <c r="A48" s="60" t="s">
        <v>204</v>
      </c>
      <c r="B48" s="60" t="s">
        <v>71</v>
      </c>
      <c r="C48" s="60" t="s">
        <v>266</v>
      </c>
      <c r="D48" s="60" t="s">
        <v>58</v>
      </c>
      <c r="E48" s="60" t="s">
        <v>59</v>
      </c>
      <c r="F48" s="60" t="s">
        <v>60</v>
      </c>
      <c r="G48" s="60" t="s">
        <v>14</v>
      </c>
      <c r="H48" s="60" t="s">
        <v>72</v>
      </c>
      <c r="I48" s="2">
        <v>45432</v>
      </c>
      <c r="J48" t="s">
        <v>58</v>
      </c>
      <c r="K48" t="s">
        <v>58</v>
      </c>
      <c r="L48" t="s">
        <v>58</v>
      </c>
    </row>
    <row r="49" spans="1:12" x14ac:dyDescent="0.25">
      <c r="A49" s="60" t="s">
        <v>267</v>
      </c>
      <c r="B49" s="60" t="s">
        <v>71</v>
      </c>
      <c r="C49" s="60" t="s">
        <v>268</v>
      </c>
      <c r="D49" s="60" t="s">
        <v>58</v>
      </c>
      <c r="E49" s="60" t="s">
        <v>74</v>
      </c>
      <c r="F49" s="60" t="s">
        <v>60</v>
      </c>
      <c r="G49" s="60" t="s">
        <v>14</v>
      </c>
      <c r="H49" s="60" t="s">
        <v>105</v>
      </c>
      <c r="I49" s="2">
        <v>45432</v>
      </c>
      <c r="J49" t="s">
        <v>58</v>
      </c>
      <c r="K49" t="s">
        <v>58</v>
      </c>
      <c r="L49" t="s">
        <v>58</v>
      </c>
    </row>
    <row r="50" spans="1:12" x14ac:dyDescent="0.25">
      <c r="A50" s="60" t="s">
        <v>269</v>
      </c>
      <c r="B50" s="60" t="s">
        <v>73</v>
      </c>
      <c r="C50" s="60" t="s">
        <v>159</v>
      </c>
      <c r="D50" s="60" t="s">
        <v>270</v>
      </c>
      <c r="E50" s="60" t="s">
        <v>59</v>
      </c>
      <c r="F50" s="60" t="s">
        <v>60</v>
      </c>
      <c r="G50" s="60" t="s">
        <v>69</v>
      </c>
      <c r="H50" s="60" t="s">
        <v>72</v>
      </c>
      <c r="I50" s="2">
        <v>45432</v>
      </c>
      <c r="J50" t="s">
        <v>343</v>
      </c>
      <c r="K50">
        <v>21840</v>
      </c>
      <c r="L50">
        <v>25200</v>
      </c>
    </row>
    <row r="51" spans="1:12" x14ac:dyDescent="0.25">
      <c r="A51" s="60" t="s">
        <v>271</v>
      </c>
      <c r="B51" s="60" t="s">
        <v>99</v>
      </c>
      <c r="C51" s="60" t="s">
        <v>93</v>
      </c>
      <c r="D51" s="60" t="s">
        <v>58</v>
      </c>
      <c r="E51" s="60" t="s">
        <v>59</v>
      </c>
      <c r="F51" s="60" t="s">
        <v>60</v>
      </c>
      <c r="G51" s="60" t="s">
        <v>14</v>
      </c>
      <c r="H51" s="60" t="s">
        <v>72</v>
      </c>
      <c r="I51" s="2">
        <v>45432</v>
      </c>
      <c r="J51" t="s">
        <v>58</v>
      </c>
      <c r="K51" t="s">
        <v>58</v>
      </c>
      <c r="L51" t="s">
        <v>58</v>
      </c>
    </row>
    <row r="52" spans="1:12" x14ac:dyDescent="0.25">
      <c r="A52" s="60" t="s">
        <v>272</v>
      </c>
      <c r="B52" s="60" t="s">
        <v>111</v>
      </c>
      <c r="C52" s="60" t="s">
        <v>112</v>
      </c>
      <c r="D52" s="60" t="s">
        <v>113</v>
      </c>
      <c r="E52" s="60" t="s">
        <v>79</v>
      </c>
      <c r="F52" s="60" t="s">
        <v>60</v>
      </c>
      <c r="G52" s="60" t="s">
        <v>14</v>
      </c>
      <c r="H52" s="60" t="s">
        <v>65</v>
      </c>
      <c r="I52" s="2">
        <v>45432</v>
      </c>
      <c r="J52" t="s">
        <v>344</v>
      </c>
      <c r="K52">
        <v>5000</v>
      </c>
      <c r="L52">
        <v>25000</v>
      </c>
    </row>
    <row r="53" spans="1:12" x14ac:dyDescent="0.25">
      <c r="A53" s="60" t="s">
        <v>273</v>
      </c>
      <c r="B53" s="60" t="s">
        <v>71</v>
      </c>
      <c r="C53" s="60" t="s">
        <v>89</v>
      </c>
      <c r="D53" s="60" t="s">
        <v>58</v>
      </c>
      <c r="E53" s="60" t="s">
        <v>110</v>
      </c>
      <c r="F53" s="60" t="s">
        <v>60</v>
      </c>
      <c r="G53" s="60" t="s">
        <v>14</v>
      </c>
      <c r="H53" s="60" t="s">
        <v>65</v>
      </c>
      <c r="I53" s="2">
        <v>45432</v>
      </c>
      <c r="J53" t="s">
        <v>58</v>
      </c>
      <c r="K53" t="s">
        <v>58</v>
      </c>
      <c r="L53" t="s">
        <v>58</v>
      </c>
    </row>
    <row r="54" spans="1:12" x14ac:dyDescent="0.25">
      <c r="A54" s="60" t="s">
        <v>273</v>
      </c>
      <c r="B54" s="60" t="s">
        <v>71</v>
      </c>
      <c r="C54" s="60" t="s">
        <v>89</v>
      </c>
      <c r="D54" s="60" t="s">
        <v>58</v>
      </c>
      <c r="E54" s="60" t="s">
        <v>110</v>
      </c>
      <c r="F54" s="60" t="s">
        <v>60</v>
      </c>
      <c r="G54" s="60" t="s">
        <v>14</v>
      </c>
      <c r="H54" s="60" t="s">
        <v>65</v>
      </c>
      <c r="I54" s="2">
        <v>45432</v>
      </c>
      <c r="J54" t="s">
        <v>58</v>
      </c>
      <c r="K54" t="s">
        <v>58</v>
      </c>
      <c r="L54" t="s">
        <v>58</v>
      </c>
    </row>
    <row r="55" spans="1:12" x14ac:dyDescent="0.25">
      <c r="A55" s="60" t="s">
        <v>274</v>
      </c>
      <c r="B55" s="60" t="s">
        <v>88</v>
      </c>
      <c r="C55" s="60" t="s">
        <v>89</v>
      </c>
      <c r="D55" s="60" t="s">
        <v>58</v>
      </c>
      <c r="E55" s="60" t="s">
        <v>110</v>
      </c>
      <c r="F55" s="60" t="s">
        <v>60</v>
      </c>
      <c r="G55" s="60" t="s">
        <v>14</v>
      </c>
      <c r="H55" s="60" t="s">
        <v>65</v>
      </c>
      <c r="I55" s="2">
        <v>45432</v>
      </c>
      <c r="J55" t="s">
        <v>58</v>
      </c>
      <c r="K55" t="s">
        <v>58</v>
      </c>
      <c r="L55" t="s">
        <v>58</v>
      </c>
    </row>
    <row r="56" spans="1:12" x14ac:dyDescent="0.25">
      <c r="A56" s="60" t="s">
        <v>275</v>
      </c>
      <c r="B56" s="60" t="s">
        <v>73</v>
      </c>
      <c r="C56" s="60" t="s">
        <v>114</v>
      </c>
      <c r="D56" s="60" t="s">
        <v>115</v>
      </c>
      <c r="E56" s="60" t="s">
        <v>74</v>
      </c>
      <c r="F56" s="60" t="s">
        <v>60</v>
      </c>
      <c r="G56" s="60" t="s">
        <v>69</v>
      </c>
      <c r="H56" s="60" t="s">
        <v>62</v>
      </c>
      <c r="I56" s="2">
        <v>45432</v>
      </c>
      <c r="J56" t="s">
        <v>343</v>
      </c>
      <c r="K56">
        <v>17600</v>
      </c>
      <c r="L56">
        <v>20000</v>
      </c>
    </row>
    <row r="57" spans="1:12" x14ac:dyDescent="0.25">
      <c r="A57" s="60" t="s">
        <v>276</v>
      </c>
      <c r="B57" s="60" t="s">
        <v>116</v>
      </c>
      <c r="C57" s="60" t="s">
        <v>117</v>
      </c>
      <c r="D57" s="60" t="s">
        <v>118</v>
      </c>
      <c r="E57" s="60" t="s">
        <v>64</v>
      </c>
      <c r="F57" s="60" t="s">
        <v>60</v>
      </c>
      <c r="G57" s="60" t="s">
        <v>119</v>
      </c>
      <c r="H57" s="60" t="s">
        <v>72</v>
      </c>
      <c r="I57" s="2">
        <v>45432</v>
      </c>
      <c r="J57" t="s">
        <v>345</v>
      </c>
      <c r="K57">
        <v>8660</v>
      </c>
      <c r="L57">
        <v>12990</v>
      </c>
    </row>
    <row r="58" spans="1:12" x14ac:dyDescent="0.25">
      <c r="A58" s="60" t="s">
        <v>276</v>
      </c>
      <c r="B58" s="60" t="s">
        <v>120</v>
      </c>
      <c r="C58" s="60" t="s">
        <v>121</v>
      </c>
      <c r="D58" s="60" t="s">
        <v>58</v>
      </c>
      <c r="E58" s="60" t="s">
        <v>59</v>
      </c>
      <c r="F58" s="60" t="s">
        <v>60</v>
      </c>
      <c r="G58" s="60" t="s">
        <v>14</v>
      </c>
      <c r="H58" s="60" t="s">
        <v>62</v>
      </c>
      <c r="I58" s="2">
        <v>45432</v>
      </c>
      <c r="J58" t="s">
        <v>58</v>
      </c>
      <c r="K58" t="s">
        <v>58</v>
      </c>
      <c r="L58" t="s">
        <v>58</v>
      </c>
    </row>
    <row r="59" spans="1:12" x14ac:dyDescent="0.25">
      <c r="A59" s="60" t="s">
        <v>276</v>
      </c>
      <c r="B59" s="60" t="s">
        <v>78</v>
      </c>
      <c r="C59" s="60" t="s">
        <v>122</v>
      </c>
      <c r="D59" s="60" t="s">
        <v>58</v>
      </c>
      <c r="E59" s="60" t="s">
        <v>59</v>
      </c>
      <c r="F59" s="60" t="s">
        <v>60</v>
      </c>
      <c r="G59" s="60" t="s">
        <v>61</v>
      </c>
      <c r="H59" s="60" t="s">
        <v>62</v>
      </c>
      <c r="I59" s="2">
        <v>45432</v>
      </c>
      <c r="J59" t="s">
        <v>58</v>
      </c>
      <c r="K59" t="s">
        <v>58</v>
      </c>
      <c r="L59" t="s">
        <v>58</v>
      </c>
    </row>
    <row r="60" spans="1:12" x14ac:dyDescent="0.25">
      <c r="A60" s="60" t="s">
        <v>277</v>
      </c>
      <c r="B60" s="60" t="s">
        <v>103</v>
      </c>
      <c r="C60" s="60" t="s">
        <v>123</v>
      </c>
      <c r="D60" s="60" t="s">
        <v>58</v>
      </c>
      <c r="E60" s="60" t="s">
        <v>59</v>
      </c>
      <c r="F60" s="60" t="s">
        <v>60</v>
      </c>
      <c r="G60" s="60" t="s">
        <v>14</v>
      </c>
      <c r="H60" s="60" t="s">
        <v>62</v>
      </c>
      <c r="I60" s="2">
        <v>45432</v>
      </c>
      <c r="J60" t="s">
        <v>58</v>
      </c>
      <c r="K60" t="s">
        <v>58</v>
      </c>
      <c r="L60" t="s">
        <v>58</v>
      </c>
    </row>
    <row r="61" spans="1:12" x14ac:dyDescent="0.25">
      <c r="A61" s="60" t="s">
        <v>278</v>
      </c>
      <c r="B61" s="60" t="s">
        <v>63</v>
      </c>
      <c r="C61" s="60" t="s">
        <v>123</v>
      </c>
      <c r="D61" s="60" t="s">
        <v>58</v>
      </c>
      <c r="E61" s="60" t="s">
        <v>59</v>
      </c>
      <c r="F61" s="60" t="s">
        <v>60</v>
      </c>
      <c r="G61" s="60" t="s">
        <v>14</v>
      </c>
      <c r="H61" s="60" t="s">
        <v>62</v>
      </c>
      <c r="I61" s="2">
        <v>45432</v>
      </c>
      <c r="J61" t="s">
        <v>58</v>
      </c>
      <c r="K61" t="s">
        <v>58</v>
      </c>
      <c r="L61" t="s">
        <v>58</v>
      </c>
    </row>
    <row r="62" spans="1:12" x14ac:dyDescent="0.25">
      <c r="A62" s="60" t="s">
        <v>279</v>
      </c>
      <c r="B62" s="60" t="s">
        <v>71</v>
      </c>
      <c r="C62" s="60" t="s">
        <v>124</v>
      </c>
      <c r="D62" s="60" t="s">
        <v>125</v>
      </c>
      <c r="E62" s="60" t="s">
        <v>64</v>
      </c>
      <c r="F62" s="60" t="s">
        <v>126</v>
      </c>
      <c r="G62" s="60" t="s">
        <v>109</v>
      </c>
      <c r="H62" s="60" t="s">
        <v>62</v>
      </c>
      <c r="I62" s="2">
        <v>45432</v>
      </c>
      <c r="J62" t="s">
        <v>345</v>
      </c>
      <c r="K62">
        <v>4500</v>
      </c>
      <c r="L62">
        <v>8300</v>
      </c>
    </row>
    <row r="63" spans="1:12" x14ac:dyDescent="0.25">
      <c r="A63" s="60" t="s">
        <v>280</v>
      </c>
      <c r="B63" s="60" t="s">
        <v>39</v>
      </c>
      <c r="C63" s="60" t="s">
        <v>127</v>
      </c>
      <c r="D63" s="60" t="s">
        <v>128</v>
      </c>
      <c r="E63" s="60" t="s">
        <v>59</v>
      </c>
      <c r="F63" s="60" t="s">
        <v>60</v>
      </c>
      <c r="G63" s="60" t="s">
        <v>14</v>
      </c>
      <c r="H63" s="60" t="s">
        <v>72</v>
      </c>
      <c r="I63" s="2">
        <v>45432</v>
      </c>
      <c r="J63" t="s">
        <v>344</v>
      </c>
      <c r="K63">
        <v>12200</v>
      </c>
      <c r="L63">
        <v>14200</v>
      </c>
    </row>
    <row r="64" spans="1:12" x14ac:dyDescent="0.25">
      <c r="A64" s="60" t="s">
        <v>281</v>
      </c>
      <c r="B64" s="60" t="s">
        <v>71</v>
      </c>
      <c r="C64" s="60" t="s">
        <v>282</v>
      </c>
      <c r="D64" s="60" t="s">
        <v>58</v>
      </c>
      <c r="E64" s="60" t="s">
        <v>68</v>
      </c>
      <c r="F64" s="60" t="s">
        <v>60</v>
      </c>
      <c r="G64" s="60" t="s">
        <v>14</v>
      </c>
      <c r="H64" s="60" t="s">
        <v>62</v>
      </c>
      <c r="I64" s="2">
        <v>45432</v>
      </c>
      <c r="J64" t="s">
        <v>58</v>
      </c>
      <c r="K64" t="s">
        <v>58</v>
      </c>
      <c r="L64" t="s">
        <v>58</v>
      </c>
    </row>
    <row r="65" spans="1:12" x14ac:dyDescent="0.25">
      <c r="A65" s="60" t="s">
        <v>181</v>
      </c>
      <c r="B65" s="60" t="s">
        <v>182</v>
      </c>
      <c r="C65" s="60" t="s">
        <v>183</v>
      </c>
      <c r="D65" s="60" t="s">
        <v>58</v>
      </c>
      <c r="E65" s="60" t="s">
        <v>59</v>
      </c>
      <c r="F65" s="60" t="s">
        <v>60</v>
      </c>
      <c r="G65" s="60" t="s">
        <v>14</v>
      </c>
      <c r="H65" s="60" t="s">
        <v>72</v>
      </c>
      <c r="I65" s="2">
        <v>45432</v>
      </c>
      <c r="J65" t="s">
        <v>58</v>
      </c>
      <c r="K65" t="s">
        <v>58</v>
      </c>
      <c r="L65" t="s">
        <v>58</v>
      </c>
    </row>
    <row r="66" spans="1:12" x14ac:dyDescent="0.25">
      <c r="A66" s="60" t="s">
        <v>283</v>
      </c>
      <c r="B66" s="60" t="s">
        <v>66</v>
      </c>
      <c r="C66" s="60" t="s">
        <v>284</v>
      </c>
      <c r="D66" s="60" t="s">
        <v>58</v>
      </c>
      <c r="E66" s="60" t="s">
        <v>110</v>
      </c>
      <c r="F66" s="60" t="s">
        <v>60</v>
      </c>
      <c r="G66" s="60" t="s">
        <v>69</v>
      </c>
      <c r="H66" s="60" t="s">
        <v>72</v>
      </c>
      <c r="I66" s="2">
        <v>45432</v>
      </c>
      <c r="J66" t="s">
        <v>58</v>
      </c>
      <c r="K66" t="s">
        <v>58</v>
      </c>
      <c r="L66" t="s">
        <v>58</v>
      </c>
    </row>
    <row r="67" spans="1:12" x14ac:dyDescent="0.25">
      <c r="A67" s="60" t="s">
        <v>285</v>
      </c>
      <c r="B67" s="60" t="s">
        <v>156</v>
      </c>
      <c r="C67" s="60" t="s">
        <v>157</v>
      </c>
      <c r="D67" s="60" t="s">
        <v>158</v>
      </c>
      <c r="E67" s="60" t="s">
        <v>59</v>
      </c>
      <c r="F67" s="60" t="s">
        <v>60</v>
      </c>
      <c r="G67" s="60" t="s">
        <v>61</v>
      </c>
      <c r="H67" s="60" t="s">
        <v>62</v>
      </c>
      <c r="I67" s="2">
        <v>45432</v>
      </c>
      <c r="J67" t="s">
        <v>345</v>
      </c>
      <c r="K67">
        <v>7500</v>
      </c>
      <c r="L67">
        <v>15000</v>
      </c>
    </row>
    <row r="68" spans="1:12" x14ac:dyDescent="0.25">
      <c r="A68" s="60" t="s">
        <v>286</v>
      </c>
      <c r="B68" s="60" t="s">
        <v>287</v>
      </c>
      <c r="C68" s="60" t="s">
        <v>170</v>
      </c>
      <c r="D68" s="60" t="s">
        <v>58</v>
      </c>
      <c r="E68" s="60" t="s">
        <v>59</v>
      </c>
      <c r="F68" s="60" t="s">
        <v>60</v>
      </c>
      <c r="G68" s="60" t="s">
        <v>14</v>
      </c>
      <c r="H68" s="60" t="s">
        <v>70</v>
      </c>
      <c r="I68" s="2">
        <v>45432</v>
      </c>
      <c r="J68" t="s">
        <v>58</v>
      </c>
      <c r="K68" t="s">
        <v>58</v>
      </c>
      <c r="L68" t="s">
        <v>58</v>
      </c>
    </row>
    <row r="69" spans="1:12" x14ac:dyDescent="0.25">
      <c r="A69" s="60" t="s">
        <v>288</v>
      </c>
      <c r="B69" s="60" t="s">
        <v>66</v>
      </c>
      <c r="C69" s="60" t="s">
        <v>289</v>
      </c>
      <c r="D69" s="60" t="s">
        <v>290</v>
      </c>
      <c r="E69" s="60" t="s">
        <v>79</v>
      </c>
      <c r="F69" s="60" t="s">
        <v>60</v>
      </c>
      <c r="G69" s="60" t="s">
        <v>69</v>
      </c>
      <c r="H69" s="60" t="s">
        <v>72</v>
      </c>
      <c r="I69" s="2">
        <v>45432</v>
      </c>
      <c r="J69" t="s">
        <v>343</v>
      </c>
      <c r="K69">
        <v>10000</v>
      </c>
      <c r="L69">
        <v>15000</v>
      </c>
    </row>
    <row r="70" spans="1:12" x14ac:dyDescent="0.25">
      <c r="A70" s="60" t="s">
        <v>291</v>
      </c>
      <c r="B70" s="60" t="s">
        <v>73</v>
      </c>
      <c r="C70" s="60" t="s">
        <v>292</v>
      </c>
      <c r="D70" s="60" t="s">
        <v>58</v>
      </c>
      <c r="E70" s="60" t="s">
        <v>59</v>
      </c>
      <c r="F70" s="60" t="s">
        <v>60</v>
      </c>
      <c r="G70" s="60" t="s">
        <v>61</v>
      </c>
      <c r="H70" s="60" t="s">
        <v>62</v>
      </c>
      <c r="I70" s="2">
        <v>45432</v>
      </c>
      <c r="J70" t="s">
        <v>58</v>
      </c>
      <c r="K70" t="s">
        <v>58</v>
      </c>
      <c r="L70" t="s">
        <v>58</v>
      </c>
    </row>
    <row r="71" spans="1:12" x14ac:dyDescent="0.25">
      <c r="A71" s="60" t="s">
        <v>285</v>
      </c>
      <c r="B71" s="60" t="s">
        <v>205</v>
      </c>
      <c r="C71" s="60" t="s">
        <v>206</v>
      </c>
      <c r="D71" s="60" t="s">
        <v>58</v>
      </c>
      <c r="E71" s="60" t="s">
        <v>59</v>
      </c>
      <c r="F71" s="60" t="s">
        <v>60</v>
      </c>
      <c r="G71" s="60" t="s">
        <v>14</v>
      </c>
      <c r="H71" s="60" t="s">
        <v>72</v>
      </c>
      <c r="I71" s="2">
        <v>45432</v>
      </c>
      <c r="J71" t="s">
        <v>58</v>
      </c>
      <c r="K71" t="s">
        <v>58</v>
      </c>
      <c r="L71" t="s">
        <v>58</v>
      </c>
    </row>
    <row r="72" spans="1:12" x14ac:dyDescent="0.25">
      <c r="A72" s="60" t="s">
        <v>293</v>
      </c>
      <c r="B72" s="60" t="s">
        <v>91</v>
      </c>
      <c r="C72" s="60" t="s">
        <v>294</v>
      </c>
      <c r="D72" s="60" t="s">
        <v>58</v>
      </c>
      <c r="E72" s="60" t="s">
        <v>68</v>
      </c>
      <c r="F72" s="60" t="s">
        <v>60</v>
      </c>
      <c r="G72" s="60" t="s">
        <v>69</v>
      </c>
      <c r="H72" s="60" t="s">
        <v>100</v>
      </c>
      <c r="I72" s="2">
        <v>45432</v>
      </c>
      <c r="J72" t="s">
        <v>58</v>
      </c>
      <c r="K72" t="s">
        <v>58</v>
      </c>
      <c r="L72" t="s">
        <v>58</v>
      </c>
    </row>
    <row r="73" spans="1:12" x14ac:dyDescent="0.25">
      <c r="A73" s="60" t="s">
        <v>295</v>
      </c>
      <c r="B73" s="60" t="s">
        <v>91</v>
      </c>
      <c r="C73" s="60" t="s">
        <v>296</v>
      </c>
      <c r="D73" s="60" t="s">
        <v>58</v>
      </c>
      <c r="E73" s="60" t="s">
        <v>68</v>
      </c>
      <c r="F73" s="60" t="s">
        <v>60</v>
      </c>
      <c r="G73" s="60" t="s">
        <v>61</v>
      </c>
      <c r="H73" s="60" t="s">
        <v>70</v>
      </c>
      <c r="I73" s="2">
        <v>45432</v>
      </c>
      <c r="J73" t="s">
        <v>58</v>
      </c>
      <c r="K73" t="s">
        <v>58</v>
      </c>
      <c r="L73" t="s">
        <v>58</v>
      </c>
    </row>
    <row r="74" spans="1:12" x14ac:dyDescent="0.25">
      <c r="A74" s="60" t="s">
        <v>297</v>
      </c>
      <c r="B74" s="60" t="s">
        <v>130</v>
      </c>
      <c r="C74" s="60" t="s">
        <v>131</v>
      </c>
      <c r="D74" s="60" t="s">
        <v>58</v>
      </c>
      <c r="E74" s="60" t="s">
        <v>59</v>
      </c>
      <c r="F74" s="60" t="s">
        <v>60</v>
      </c>
      <c r="G74" s="60" t="s">
        <v>14</v>
      </c>
      <c r="H74" s="60" t="s">
        <v>132</v>
      </c>
      <c r="I74" s="2">
        <v>45432</v>
      </c>
      <c r="J74" t="s">
        <v>58</v>
      </c>
      <c r="K74" t="s">
        <v>58</v>
      </c>
      <c r="L74" t="s">
        <v>58</v>
      </c>
    </row>
    <row r="75" spans="1:12" x14ac:dyDescent="0.25">
      <c r="A75" s="60" t="s">
        <v>298</v>
      </c>
      <c r="B75" s="60" t="s">
        <v>80</v>
      </c>
      <c r="C75" s="60" t="s">
        <v>230</v>
      </c>
      <c r="D75" s="60" t="s">
        <v>58</v>
      </c>
      <c r="E75" s="60" t="s">
        <v>180</v>
      </c>
      <c r="F75" s="60" t="s">
        <v>60</v>
      </c>
      <c r="G75" s="60" t="s">
        <v>69</v>
      </c>
      <c r="H75" s="60" t="s">
        <v>72</v>
      </c>
      <c r="I75" s="2">
        <v>45432</v>
      </c>
      <c r="J75" t="s">
        <v>58</v>
      </c>
      <c r="K75" t="s">
        <v>58</v>
      </c>
      <c r="L75" t="s">
        <v>58</v>
      </c>
    </row>
    <row r="76" spans="1:12" x14ac:dyDescent="0.25">
      <c r="A76" s="60" t="s">
        <v>299</v>
      </c>
      <c r="B76" s="60" t="s">
        <v>11</v>
      </c>
      <c r="C76" s="60" t="s">
        <v>173</v>
      </c>
      <c r="D76" s="60" t="s">
        <v>300</v>
      </c>
      <c r="E76" s="60" t="s">
        <v>177</v>
      </c>
      <c r="F76" s="60" t="s">
        <v>60</v>
      </c>
      <c r="G76" s="60" t="s">
        <v>69</v>
      </c>
      <c r="H76" s="60" t="s">
        <v>72</v>
      </c>
      <c r="I76" s="2">
        <v>45432</v>
      </c>
      <c r="J76" t="s">
        <v>343</v>
      </c>
      <c r="K76">
        <v>20000</v>
      </c>
      <c r="L76">
        <v>25000</v>
      </c>
    </row>
    <row r="77" spans="1:12" x14ac:dyDescent="0.25">
      <c r="A77" s="60" t="s">
        <v>301</v>
      </c>
      <c r="B77" s="60" t="s">
        <v>94</v>
      </c>
      <c r="C77" s="60" t="s">
        <v>302</v>
      </c>
      <c r="D77" s="60" t="s">
        <v>58</v>
      </c>
      <c r="E77" s="60" t="s">
        <v>64</v>
      </c>
      <c r="F77" s="60" t="s">
        <v>60</v>
      </c>
      <c r="G77" s="60" t="s">
        <v>14</v>
      </c>
      <c r="H77" s="60" t="s">
        <v>105</v>
      </c>
      <c r="I77" s="2">
        <v>45432</v>
      </c>
      <c r="J77" t="s">
        <v>58</v>
      </c>
      <c r="K77" t="s">
        <v>58</v>
      </c>
      <c r="L77" t="s">
        <v>58</v>
      </c>
    </row>
    <row r="78" spans="1:12" x14ac:dyDescent="0.25">
      <c r="A78" s="60" t="s">
        <v>303</v>
      </c>
      <c r="B78" s="60" t="s">
        <v>73</v>
      </c>
      <c r="C78" s="60" t="s">
        <v>255</v>
      </c>
      <c r="D78" s="60" t="s">
        <v>58</v>
      </c>
      <c r="E78" s="60" t="s">
        <v>59</v>
      </c>
      <c r="F78" s="60" t="s">
        <v>60</v>
      </c>
      <c r="G78" s="60" t="s">
        <v>14</v>
      </c>
      <c r="H78" s="60" t="s">
        <v>72</v>
      </c>
      <c r="I78" s="2">
        <v>45432</v>
      </c>
      <c r="J78" t="s">
        <v>58</v>
      </c>
      <c r="K78" t="s">
        <v>58</v>
      </c>
      <c r="L78" t="s">
        <v>58</v>
      </c>
    </row>
    <row r="79" spans="1:12" x14ac:dyDescent="0.25">
      <c r="A79" s="60" t="s">
        <v>304</v>
      </c>
      <c r="B79" s="60" t="s">
        <v>120</v>
      </c>
      <c r="C79" s="60" t="s">
        <v>305</v>
      </c>
      <c r="D79" s="60" t="s">
        <v>58</v>
      </c>
      <c r="E79" s="60" t="s">
        <v>79</v>
      </c>
      <c r="F79" s="60" t="s">
        <v>60</v>
      </c>
      <c r="G79" s="60" t="s">
        <v>69</v>
      </c>
      <c r="H79" s="60" t="s">
        <v>70</v>
      </c>
      <c r="I79" s="2">
        <v>45432</v>
      </c>
      <c r="J79" t="s">
        <v>58</v>
      </c>
      <c r="K79" t="s">
        <v>58</v>
      </c>
      <c r="L79" t="s">
        <v>58</v>
      </c>
    </row>
    <row r="80" spans="1:12" x14ac:dyDescent="0.25">
      <c r="A80" s="60" t="s">
        <v>306</v>
      </c>
      <c r="B80" s="60" t="s">
        <v>73</v>
      </c>
      <c r="C80" s="60" t="s">
        <v>307</v>
      </c>
      <c r="D80" s="60" t="s">
        <v>58</v>
      </c>
      <c r="E80" s="60" t="s">
        <v>59</v>
      </c>
      <c r="F80" s="60" t="s">
        <v>60</v>
      </c>
      <c r="G80" s="60" t="s">
        <v>14</v>
      </c>
      <c r="H80" s="60" t="s">
        <v>72</v>
      </c>
      <c r="I80" s="2">
        <v>45432</v>
      </c>
      <c r="J80" t="s">
        <v>58</v>
      </c>
      <c r="K80" t="s">
        <v>58</v>
      </c>
      <c r="L80" t="s">
        <v>58</v>
      </c>
    </row>
    <row r="81" spans="1:12" x14ac:dyDescent="0.25">
      <c r="A81" s="60" t="s">
        <v>308</v>
      </c>
      <c r="B81" s="60" t="s">
        <v>73</v>
      </c>
      <c r="C81" s="60" t="s">
        <v>305</v>
      </c>
      <c r="D81" s="60" t="s">
        <v>58</v>
      </c>
      <c r="E81" s="60" t="s">
        <v>79</v>
      </c>
      <c r="F81" s="60" t="s">
        <v>60</v>
      </c>
      <c r="G81" s="60" t="s">
        <v>69</v>
      </c>
      <c r="H81" s="60" t="s">
        <v>70</v>
      </c>
      <c r="I81" s="2">
        <v>45432</v>
      </c>
      <c r="J81" t="s">
        <v>58</v>
      </c>
      <c r="K81" t="s">
        <v>58</v>
      </c>
      <c r="L81" t="s">
        <v>58</v>
      </c>
    </row>
    <row r="82" spans="1:12" x14ac:dyDescent="0.25">
      <c r="A82" s="60" t="s">
        <v>309</v>
      </c>
      <c r="B82" s="60" t="s">
        <v>91</v>
      </c>
      <c r="C82" s="60" t="s">
        <v>310</v>
      </c>
      <c r="D82" s="60" t="s">
        <v>311</v>
      </c>
      <c r="E82" s="60" t="s">
        <v>68</v>
      </c>
      <c r="F82" s="60" t="s">
        <v>60</v>
      </c>
      <c r="G82" s="60" t="s">
        <v>69</v>
      </c>
      <c r="H82" s="60" t="s">
        <v>72</v>
      </c>
      <c r="I82" s="2">
        <v>45432</v>
      </c>
      <c r="J82" t="s">
        <v>343</v>
      </c>
      <c r="K82">
        <v>12000</v>
      </c>
      <c r="L82">
        <v>17500</v>
      </c>
    </row>
    <row r="83" spans="1:12" x14ac:dyDescent="0.25">
      <c r="A83" s="60" t="s">
        <v>285</v>
      </c>
      <c r="B83" s="60" t="s">
        <v>116</v>
      </c>
      <c r="C83" s="60" t="s">
        <v>129</v>
      </c>
      <c r="D83" s="60" t="s">
        <v>58</v>
      </c>
      <c r="E83" s="60" t="s">
        <v>59</v>
      </c>
      <c r="F83" s="60" t="s">
        <v>60</v>
      </c>
      <c r="G83" s="60" t="s">
        <v>14</v>
      </c>
      <c r="H83" s="60" t="s">
        <v>85</v>
      </c>
      <c r="I83" s="2">
        <v>45432</v>
      </c>
      <c r="J83" t="s">
        <v>58</v>
      </c>
      <c r="K83" t="s">
        <v>58</v>
      </c>
      <c r="L83" t="s">
        <v>58</v>
      </c>
    </row>
    <row r="84" spans="1:12" x14ac:dyDescent="0.25">
      <c r="A84" s="60" t="s">
        <v>312</v>
      </c>
      <c r="B84" s="60" t="s">
        <v>130</v>
      </c>
      <c r="C84" s="60" t="s">
        <v>131</v>
      </c>
      <c r="D84" s="60" t="s">
        <v>58</v>
      </c>
      <c r="E84" s="60" t="s">
        <v>59</v>
      </c>
      <c r="F84" s="60" t="s">
        <v>60</v>
      </c>
      <c r="G84" s="60" t="s">
        <v>14</v>
      </c>
      <c r="H84" s="60" t="s">
        <v>132</v>
      </c>
      <c r="I84" s="2">
        <v>45432</v>
      </c>
      <c r="J84" t="s">
        <v>58</v>
      </c>
      <c r="K84" t="s">
        <v>58</v>
      </c>
      <c r="L84" t="s">
        <v>58</v>
      </c>
    </row>
    <row r="85" spans="1:12" x14ac:dyDescent="0.25">
      <c r="A85" s="60" t="s">
        <v>313</v>
      </c>
      <c r="B85" s="60" t="s">
        <v>130</v>
      </c>
      <c r="C85" s="60" t="s">
        <v>131</v>
      </c>
      <c r="D85" s="60" t="s">
        <v>58</v>
      </c>
      <c r="E85" s="60" t="s">
        <v>59</v>
      </c>
      <c r="F85" s="60" t="s">
        <v>60</v>
      </c>
      <c r="G85" s="60" t="s">
        <v>14</v>
      </c>
      <c r="H85" s="60" t="s">
        <v>132</v>
      </c>
      <c r="I85" s="2">
        <v>45432</v>
      </c>
      <c r="J85" t="s">
        <v>58</v>
      </c>
      <c r="K85" t="s">
        <v>58</v>
      </c>
      <c r="L85" t="s">
        <v>58</v>
      </c>
    </row>
    <row r="86" spans="1:12" x14ac:dyDescent="0.25">
      <c r="A86" s="60" t="s">
        <v>314</v>
      </c>
      <c r="B86" s="60" t="s">
        <v>133</v>
      </c>
      <c r="C86" s="60" t="s">
        <v>134</v>
      </c>
      <c r="D86" s="60" t="s">
        <v>58</v>
      </c>
      <c r="E86" s="60" t="s">
        <v>59</v>
      </c>
      <c r="F86" s="60" t="s">
        <v>60</v>
      </c>
      <c r="G86" s="60" t="s">
        <v>14</v>
      </c>
      <c r="H86" s="60" t="s">
        <v>62</v>
      </c>
      <c r="I86" s="2">
        <v>45432</v>
      </c>
      <c r="J86" t="s">
        <v>58</v>
      </c>
      <c r="K86" t="s">
        <v>58</v>
      </c>
      <c r="L86" t="s">
        <v>58</v>
      </c>
    </row>
    <row r="87" spans="1:12" x14ac:dyDescent="0.25">
      <c r="A87" s="60" t="s">
        <v>315</v>
      </c>
      <c r="B87" s="60" t="s">
        <v>39</v>
      </c>
      <c r="C87" s="60" t="s">
        <v>83</v>
      </c>
      <c r="D87" s="60" t="s">
        <v>135</v>
      </c>
      <c r="E87" s="60" t="s">
        <v>59</v>
      </c>
      <c r="F87" s="60" t="s">
        <v>60</v>
      </c>
      <c r="G87" s="60" t="s">
        <v>69</v>
      </c>
      <c r="H87" s="60" t="s">
        <v>62</v>
      </c>
      <c r="I87" s="2">
        <v>45432</v>
      </c>
      <c r="J87" t="s">
        <v>343</v>
      </c>
      <c r="K87">
        <v>15587.999999999998</v>
      </c>
    </row>
    <row r="88" spans="1:12" x14ac:dyDescent="0.25">
      <c r="A88" s="60" t="s">
        <v>316</v>
      </c>
      <c r="B88" s="60" t="s">
        <v>116</v>
      </c>
      <c r="C88" s="60" t="s">
        <v>136</v>
      </c>
      <c r="D88" s="60" t="s">
        <v>58</v>
      </c>
      <c r="E88" s="60" t="s">
        <v>59</v>
      </c>
      <c r="F88" s="60" t="s">
        <v>60</v>
      </c>
      <c r="G88" s="60" t="s">
        <v>14</v>
      </c>
      <c r="H88" s="60" t="s">
        <v>62</v>
      </c>
      <c r="I88" s="2">
        <v>45432</v>
      </c>
      <c r="J88" t="s">
        <v>58</v>
      </c>
      <c r="K88" t="s">
        <v>58</v>
      </c>
      <c r="L88" t="s">
        <v>58</v>
      </c>
    </row>
    <row r="89" spans="1:12" x14ac:dyDescent="0.25">
      <c r="A89" s="60" t="s">
        <v>317</v>
      </c>
      <c r="B89" s="60" t="s">
        <v>137</v>
      </c>
      <c r="C89" s="60" t="s">
        <v>138</v>
      </c>
      <c r="D89" s="60" t="s">
        <v>58</v>
      </c>
      <c r="E89" s="60" t="s">
        <v>79</v>
      </c>
      <c r="F89" s="60" t="s">
        <v>60</v>
      </c>
      <c r="G89" s="60" t="s">
        <v>14</v>
      </c>
      <c r="H89" s="60" t="s">
        <v>96</v>
      </c>
      <c r="I89" s="2">
        <v>45432</v>
      </c>
      <c r="J89" t="s">
        <v>58</v>
      </c>
      <c r="K89" t="s">
        <v>58</v>
      </c>
      <c r="L89" t="s">
        <v>58</v>
      </c>
    </row>
    <row r="90" spans="1:12" x14ac:dyDescent="0.25">
      <c r="A90" s="60" t="s">
        <v>318</v>
      </c>
      <c r="B90" s="60" t="s">
        <v>139</v>
      </c>
      <c r="C90" s="60" t="s">
        <v>95</v>
      </c>
      <c r="D90" s="60" t="s">
        <v>58</v>
      </c>
      <c r="E90" s="60" t="s">
        <v>59</v>
      </c>
      <c r="F90" s="60" t="s">
        <v>60</v>
      </c>
      <c r="G90" s="60" t="s">
        <v>14</v>
      </c>
      <c r="H90" s="60" t="s">
        <v>72</v>
      </c>
      <c r="I90" s="2">
        <v>45432</v>
      </c>
      <c r="J90" t="s">
        <v>58</v>
      </c>
      <c r="K90" t="s">
        <v>58</v>
      </c>
      <c r="L90" t="s">
        <v>58</v>
      </c>
    </row>
    <row r="91" spans="1:12" x14ac:dyDescent="0.25">
      <c r="A91" s="60" t="s">
        <v>319</v>
      </c>
      <c r="B91" s="60" t="s">
        <v>73</v>
      </c>
      <c r="C91" s="60" t="s">
        <v>140</v>
      </c>
      <c r="D91" s="60" t="s">
        <v>141</v>
      </c>
      <c r="E91" s="60" t="s">
        <v>59</v>
      </c>
      <c r="F91" s="60" t="s">
        <v>60</v>
      </c>
      <c r="G91" s="60" t="s">
        <v>61</v>
      </c>
      <c r="H91" s="60" t="s">
        <v>72</v>
      </c>
      <c r="I91" s="2">
        <v>45432</v>
      </c>
      <c r="J91" t="s">
        <v>345</v>
      </c>
      <c r="K91">
        <v>14700</v>
      </c>
      <c r="L91">
        <v>18900</v>
      </c>
    </row>
    <row r="92" spans="1:12" x14ac:dyDescent="0.25">
      <c r="A92" s="60" t="s">
        <v>320</v>
      </c>
      <c r="B92" s="60" t="s">
        <v>142</v>
      </c>
      <c r="C92" s="60" t="s">
        <v>143</v>
      </c>
      <c r="D92" s="60" t="s">
        <v>58</v>
      </c>
      <c r="E92" s="60" t="s">
        <v>110</v>
      </c>
      <c r="F92" s="60" t="s">
        <v>60</v>
      </c>
      <c r="G92" s="60" t="s">
        <v>61</v>
      </c>
      <c r="H92" s="60" t="s">
        <v>72</v>
      </c>
      <c r="I92" s="2">
        <v>45432</v>
      </c>
      <c r="J92" t="s">
        <v>58</v>
      </c>
      <c r="K92" t="s">
        <v>58</v>
      </c>
      <c r="L92" t="s">
        <v>58</v>
      </c>
    </row>
    <row r="93" spans="1:12" x14ac:dyDescent="0.25">
      <c r="A93" s="60" t="s">
        <v>321</v>
      </c>
      <c r="B93" s="60" t="s">
        <v>71</v>
      </c>
      <c r="C93" s="60" t="s">
        <v>144</v>
      </c>
      <c r="D93" s="60" t="s">
        <v>58</v>
      </c>
      <c r="E93" s="60" t="s">
        <v>79</v>
      </c>
      <c r="F93" s="60" t="s">
        <v>60</v>
      </c>
      <c r="G93" s="60" t="s">
        <v>61</v>
      </c>
      <c r="H93" s="60" t="s">
        <v>72</v>
      </c>
      <c r="I93" s="2">
        <v>45432</v>
      </c>
      <c r="J93" t="s">
        <v>58</v>
      </c>
      <c r="K93" t="s">
        <v>58</v>
      </c>
      <c r="L93" t="s">
        <v>58</v>
      </c>
    </row>
    <row r="94" spans="1:12" x14ac:dyDescent="0.25">
      <c r="A94" s="60" t="s">
        <v>322</v>
      </c>
      <c r="B94" s="60" t="s">
        <v>24</v>
      </c>
      <c r="C94" s="60" t="s">
        <v>83</v>
      </c>
      <c r="D94" s="60" t="s">
        <v>145</v>
      </c>
      <c r="E94" s="60" t="s">
        <v>59</v>
      </c>
      <c r="F94" s="60" t="s">
        <v>60</v>
      </c>
      <c r="G94" s="60" t="s">
        <v>69</v>
      </c>
      <c r="H94" s="60" t="s">
        <v>62</v>
      </c>
      <c r="I94" s="2">
        <v>45432</v>
      </c>
      <c r="J94" t="s">
        <v>343</v>
      </c>
      <c r="K94">
        <v>17320</v>
      </c>
      <c r="L94">
        <v>24248</v>
      </c>
    </row>
    <row r="95" spans="1:12" x14ac:dyDescent="0.25">
      <c r="A95" s="60" t="s">
        <v>323</v>
      </c>
      <c r="B95" s="60" t="s">
        <v>116</v>
      </c>
      <c r="C95" s="60" t="s">
        <v>146</v>
      </c>
      <c r="D95" s="60" t="s">
        <v>147</v>
      </c>
      <c r="E95" s="60" t="s">
        <v>92</v>
      </c>
      <c r="F95" s="60" t="s">
        <v>126</v>
      </c>
      <c r="G95" s="60" t="s">
        <v>148</v>
      </c>
      <c r="H95" s="60" t="s">
        <v>85</v>
      </c>
      <c r="I95" s="2">
        <v>45432</v>
      </c>
      <c r="J95" t="s">
        <v>344</v>
      </c>
      <c r="K95">
        <v>5196</v>
      </c>
    </row>
    <row r="96" spans="1:12" x14ac:dyDescent="0.25">
      <c r="A96" s="60" t="s">
        <v>322</v>
      </c>
      <c r="B96" s="60" t="s">
        <v>149</v>
      </c>
      <c r="C96" s="60" t="s">
        <v>83</v>
      </c>
      <c r="D96" s="60" t="s">
        <v>150</v>
      </c>
      <c r="E96" s="60" t="s">
        <v>59</v>
      </c>
      <c r="F96" s="60" t="s">
        <v>60</v>
      </c>
      <c r="G96" s="60" t="s">
        <v>69</v>
      </c>
      <c r="H96" s="60" t="s">
        <v>72</v>
      </c>
      <c r="I96" s="2">
        <v>45432</v>
      </c>
      <c r="J96" t="s">
        <v>343</v>
      </c>
      <c r="K96">
        <v>17320</v>
      </c>
      <c r="L96">
        <v>22516</v>
      </c>
    </row>
    <row r="97" spans="1:12" x14ac:dyDescent="0.25">
      <c r="A97" s="60" t="s">
        <v>324</v>
      </c>
      <c r="B97" s="60" t="s">
        <v>67</v>
      </c>
      <c r="C97" s="60" t="s">
        <v>151</v>
      </c>
      <c r="D97" s="60" t="s">
        <v>58</v>
      </c>
      <c r="E97" s="60" t="s">
        <v>59</v>
      </c>
      <c r="F97" s="60" t="s">
        <v>60</v>
      </c>
      <c r="G97" s="60" t="s">
        <v>61</v>
      </c>
      <c r="H97" s="60" t="s">
        <v>72</v>
      </c>
      <c r="I97" s="2">
        <v>45432</v>
      </c>
      <c r="J97" t="s">
        <v>58</v>
      </c>
      <c r="K97" t="s">
        <v>58</v>
      </c>
      <c r="L97" t="s">
        <v>58</v>
      </c>
    </row>
    <row r="98" spans="1:12" x14ac:dyDescent="0.25">
      <c r="A98" s="60" t="s">
        <v>325</v>
      </c>
      <c r="B98" s="60" t="s">
        <v>116</v>
      </c>
      <c r="C98" s="60" t="s">
        <v>151</v>
      </c>
      <c r="D98" s="60" t="s">
        <v>58</v>
      </c>
      <c r="E98" s="60" t="s">
        <v>59</v>
      </c>
      <c r="F98" s="60" t="s">
        <v>60</v>
      </c>
      <c r="G98" s="60" t="s">
        <v>61</v>
      </c>
      <c r="H98" s="60" t="s">
        <v>72</v>
      </c>
      <c r="I98" s="2">
        <v>45432</v>
      </c>
      <c r="J98" t="s">
        <v>58</v>
      </c>
      <c r="K98" t="s">
        <v>58</v>
      </c>
      <c r="L98" t="s">
        <v>58</v>
      </c>
    </row>
    <row r="99" spans="1:12" x14ac:dyDescent="0.25">
      <c r="A99" s="60" t="s">
        <v>326</v>
      </c>
      <c r="B99" s="60" t="s">
        <v>152</v>
      </c>
      <c r="C99" s="60" t="s">
        <v>153</v>
      </c>
      <c r="D99" s="60" t="s">
        <v>58</v>
      </c>
      <c r="E99" s="60" t="s">
        <v>59</v>
      </c>
      <c r="F99" s="60" t="s">
        <v>60</v>
      </c>
      <c r="G99" s="60" t="s">
        <v>69</v>
      </c>
      <c r="H99" s="60" t="s">
        <v>90</v>
      </c>
      <c r="I99" s="2">
        <v>45432</v>
      </c>
      <c r="J99" t="s">
        <v>58</v>
      </c>
      <c r="K99" t="s">
        <v>58</v>
      </c>
      <c r="L99" t="s">
        <v>58</v>
      </c>
    </row>
    <row r="100" spans="1:12" x14ac:dyDescent="0.25">
      <c r="A100" s="60" t="s">
        <v>327</v>
      </c>
      <c r="B100" s="60" t="s">
        <v>71</v>
      </c>
      <c r="C100" s="60" t="s">
        <v>154</v>
      </c>
      <c r="D100" s="60" t="s">
        <v>58</v>
      </c>
      <c r="E100" s="60" t="s">
        <v>74</v>
      </c>
      <c r="F100" s="60" t="s">
        <v>60</v>
      </c>
      <c r="G100" s="60" t="s">
        <v>14</v>
      </c>
      <c r="H100" s="60" t="s">
        <v>62</v>
      </c>
      <c r="I100" s="2">
        <v>45432</v>
      </c>
      <c r="J100" t="s">
        <v>58</v>
      </c>
      <c r="K100" t="s">
        <v>58</v>
      </c>
      <c r="L100" t="s">
        <v>58</v>
      </c>
    </row>
    <row r="101" spans="1:12" x14ac:dyDescent="0.25">
      <c r="A101" s="60" t="s">
        <v>328</v>
      </c>
      <c r="B101" s="60" t="s">
        <v>78</v>
      </c>
      <c r="C101" s="60" t="s">
        <v>122</v>
      </c>
      <c r="D101" s="60" t="s">
        <v>155</v>
      </c>
      <c r="E101" s="60" t="s">
        <v>79</v>
      </c>
      <c r="F101" s="60" t="s">
        <v>60</v>
      </c>
      <c r="G101" s="60" t="s">
        <v>69</v>
      </c>
      <c r="H101" s="60" t="s">
        <v>62</v>
      </c>
      <c r="I101" s="2">
        <v>45432</v>
      </c>
      <c r="J101" t="s">
        <v>343</v>
      </c>
      <c r="K101">
        <v>15587.999999999998</v>
      </c>
      <c r="L101">
        <v>19052</v>
      </c>
    </row>
    <row r="102" spans="1:12" x14ac:dyDescent="0.25">
      <c r="A102" s="60" t="s">
        <v>329</v>
      </c>
      <c r="B102" s="60" t="s">
        <v>94</v>
      </c>
      <c r="C102" s="60" t="s">
        <v>95</v>
      </c>
      <c r="D102" s="60" t="s">
        <v>58</v>
      </c>
      <c r="E102" s="60" t="s">
        <v>79</v>
      </c>
      <c r="F102" s="60" t="s">
        <v>60</v>
      </c>
      <c r="G102" s="60" t="s">
        <v>14</v>
      </c>
      <c r="H102" s="60" t="s">
        <v>90</v>
      </c>
      <c r="I102" s="2">
        <v>45432</v>
      </c>
      <c r="J102" t="s">
        <v>58</v>
      </c>
      <c r="K102" t="s">
        <v>58</v>
      </c>
      <c r="L102" t="s">
        <v>58</v>
      </c>
    </row>
    <row r="103" spans="1:12" x14ac:dyDescent="0.25">
      <c r="A103" s="60" t="s">
        <v>330</v>
      </c>
      <c r="B103" s="60" t="s">
        <v>94</v>
      </c>
      <c r="C103" s="60" t="s">
        <v>95</v>
      </c>
      <c r="D103" s="60" t="s">
        <v>58</v>
      </c>
      <c r="E103" s="60" t="s">
        <v>79</v>
      </c>
      <c r="F103" s="60" t="s">
        <v>60</v>
      </c>
      <c r="G103" s="60" t="s">
        <v>14</v>
      </c>
      <c r="H103" s="60" t="s">
        <v>90</v>
      </c>
      <c r="I103" s="2">
        <v>45432</v>
      </c>
      <c r="J103" t="s">
        <v>58</v>
      </c>
      <c r="K103" t="s">
        <v>58</v>
      </c>
      <c r="L103" t="s">
        <v>58</v>
      </c>
    </row>
    <row r="104" spans="1:12" x14ac:dyDescent="0.25">
      <c r="A104" s="60" t="s">
        <v>331</v>
      </c>
      <c r="B104" s="60" t="s">
        <v>91</v>
      </c>
      <c r="C104" s="60" t="s">
        <v>159</v>
      </c>
      <c r="D104" s="60" t="s">
        <v>160</v>
      </c>
      <c r="E104" s="60" t="s">
        <v>79</v>
      </c>
      <c r="F104" s="60" t="s">
        <v>60</v>
      </c>
      <c r="G104" s="60" t="s">
        <v>69</v>
      </c>
      <c r="H104" s="60" t="s">
        <v>72</v>
      </c>
      <c r="I104" s="2">
        <v>45432</v>
      </c>
      <c r="J104" t="s">
        <v>343</v>
      </c>
      <c r="K104">
        <v>20160</v>
      </c>
      <c r="L104">
        <v>23520</v>
      </c>
    </row>
    <row r="105" spans="1:12" x14ac:dyDescent="0.25">
      <c r="A105" s="60" t="s">
        <v>332</v>
      </c>
      <c r="B105" s="60" t="s">
        <v>161</v>
      </c>
      <c r="C105" s="60" t="s">
        <v>162</v>
      </c>
      <c r="D105" s="60" t="s">
        <v>163</v>
      </c>
      <c r="E105" s="60" t="s">
        <v>59</v>
      </c>
      <c r="F105" s="60" t="s">
        <v>60</v>
      </c>
      <c r="G105" s="60" t="s">
        <v>61</v>
      </c>
      <c r="H105" s="60" t="s">
        <v>72</v>
      </c>
      <c r="I105" s="2">
        <v>45432</v>
      </c>
      <c r="J105" t="s">
        <v>345</v>
      </c>
      <c r="K105">
        <v>7000</v>
      </c>
      <c r="L105">
        <v>15600</v>
      </c>
    </row>
    <row r="106" spans="1:12" x14ac:dyDescent="0.25">
      <c r="A106" s="60" t="s">
        <v>333</v>
      </c>
      <c r="B106" s="60" t="s">
        <v>106</v>
      </c>
      <c r="C106" s="60" t="s">
        <v>164</v>
      </c>
      <c r="D106" s="60" t="s">
        <v>58</v>
      </c>
      <c r="E106" s="60" t="s">
        <v>59</v>
      </c>
      <c r="F106" s="60" t="s">
        <v>60</v>
      </c>
      <c r="G106" s="60" t="s">
        <v>61</v>
      </c>
      <c r="H106" s="60" t="s">
        <v>72</v>
      </c>
      <c r="I106" s="2">
        <v>45432</v>
      </c>
      <c r="J106" t="s">
        <v>58</v>
      </c>
      <c r="K106" t="s">
        <v>58</v>
      </c>
      <c r="L106" t="s">
        <v>58</v>
      </c>
    </row>
    <row r="107" spans="1:12" x14ac:dyDescent="0.25">
      <c r="A107" s="60" t="s">
        <v>334</v>
      </c>
      <c r="B107" s="60" t="s">
        <v>73</v>
      </c>
      <c r="C107" s="60" t="s">
        <v>165</v>
      </c>
      <c r="D107" s="60" t="s">
        <v>166</v>
      </c>
      <c r="E107" s="60" t="s">
        <v>68</v>
      </c>
      <c r="F107" s="60" t="s">
        <v>60</v>
      </c>
      <c r="G107" s="60" t="s">
        <v>69</v>
      </c>
      <c r="H107" s="60" t="s">
        <v>72</v>
      </c>
      <c r="I107" s="2">
        <v>45432</v>
      </c>
      <c r="J107" t="s">
        <v>343</v>
      </c>
      <c r="K107">
        <v>29443.999999999996</v>
      </c>
    </row>
    <row r="108" spans="1:12" x14ac:dyDescent="0.25">
      <c r="A108" s="60" t="s">
        <v>335</v>
      </c>
      <c r="B108" s="60" t="s">
        <v>73</v>
      </c>
      <c r="C108" s="60" t="s">
        <v>167</v>
      </c>
      <c r="D108" s="60" t="s">
        <v>168</v>
      </c>
      <c r="E108" s="60" t="s">
        <v>68</v>
      </c>
      <c r="F108" s="60" t="s">
        <v>60</v>
      </c>
      <c r="G108" s="60" t="s">
        <v>69</v>
      </c>
      <c r="H108" s="60" t="s">
        <v>72</v>
      </c>
      <c r="I108" s="2">
        <v>45432</v>
      </c>
      <c r="J108" t="s">
        <v>343</v>
      </c>
      <c r="K108">
        <v>16454</v>
      </c>
      <c r="L108">
        <v>19052</v>
      </c>
    </row>
    <row r="109" spans="1:12" x14ac:dyDescent="0.25">
      <c r="A109" s="60" t="s">
        <v>336</v>
      </c>
      <c r="B109" s="60" t="s">
        <v>94</v>
      </c>
      <c r="C109" s="60" t="s">
        <v>83</v>
      </c>
      <c r="D109" s="60" t="s">
        <v>145</v>
      </c>
      <c r="E109" s="60" t="s">
        <v>68</v>
      </c>
      <c r="F109" s="60" t="s">
        <v>60</v>
      </c>
      <c r="G109" s="60" t="s">
        <v>69</v>
      </c>
      <c r="H109" s="60" t="s">
        <v>72</v>
      </c>
      <c r="I109" s="2">
        <v>45432</v>
      </c>
      <c r="J109" t="s">
        <v>343</v>
      </c>
      <c r="K109">
        <v>17320</v>
      </c>
      <c r="L109">
        <v>24248</v>
      </c>
    </row>
    <row r="110" spans="1:12" x14ac:dyDescent="0.25">
      <c r="A110" s="60" t="s">
        <v>295</v>
      </c>
      <c r="B110" s="60" t="s">
        <v>82</v>
      </c>
      <c r="C110" s="60" t="s">
        <v>169</v>
      </c>
      <c r="D110" s="60" t="s">
        <v>58</v>
      </c>
      <c r="E110" s="60" t="s">
        <v>68</v>
      </c>
      <c r="F110" s="60" t="s">
        <v>60</v>
      </c>
      <c r="G110" s="60" t="s">
        <v>14</v>
      </c>
      <c r="H110" s="60" t="s">
        <v>65</v>
      </c>
      <c r="I110" s="2">
        <v>45432</v>
      </c>
      <c r="J110" t="s">
        <v>58</v>
      </c>
      <c r="K110" t="s">
        <v>58</v>
      </c>
      <c r="L110" t="s">
        <v>58</v>
      </c>
    </row>
    <row r="111" spans="1:12" x14ac:dyDescent="0.25">
      <c r="A111" s="60" t="s">
        <v>337</v>
      </c>
      <c r="B111" s="60" t="s">
        <v>24</v>
      </c>
      <c r="C111" s="60" t="s">
        <v>170</v>
      </c>
      <c r="D111" s="60" t="s">
        <v>58</v>
      </c>
      <c r="E111" s="60" t="s">
        <v>59</v>
      </c>
      <c r="F111" s="60" t="s">
        <v>60</v>
      </c>
      <c r="G111" s="60" t="s">
        <v>14</v>
      </c>
      <c r="H111" s="60" t="s">
        <v>62</v>
      </c>
      <c r="I111" s="2">
        <v>45432</v>
      </c>
      <c r="J111" t="s">
        <v>58</v>
      </c>
      <c r="K111" t="s">
        <v>58</v>
      </c>
      <c r="L111" t="s">
        <v>58</v>
      </c>
    </row>
    <row r="112" spans="1:12" x14ac:dyDescent="0.25">
      <c r="A112" s="60" t="s">
        <v>338</v>
      </c>
      <c r="B112" s="60" t="s">
        <v>94</v>
      </c>
      <c r="C112" s="60" t="s">
        <v>171</v>
      </c>
      <c r="D112" s="60" t="s">
        <v>58</v>
      </c>
      <c r="E112" s="60" t="s">
        <v>59</v>
      </c>
      <c r="F112" s="60" t="s">
        <v>60</v>
      </c>
      <c r="G112" s="60" t="s">
        <v>14</v>
      </c>
      <c r="H112" s="60" t="s">
        <v>96</v>
      </c>
      <c r="I112" s="2">
        <v>45432</v>
      </c>
      <c r="J112" t="s">
        <v>58</v>
      </c>
      <c r="K112" t="s">
        <v>58</v>
      </c>
      <c r="L112" t="s">
        <v>58</v>
      </c>
    </row>
    <row r="113" spans="1:12" x14ac:dyDescent="0.25">
      <c r="A113" s="60" t="s">
        <v>339</v>
      </c>
      <c r="B113" s="60" t="s">
        <v>94</v>
      </c>
      <c r="C113" s="60" t="s">
        <v>171</v>
      </c>
      <c r="D113" s="60" t="s">
        <v>58</v>
      </c>
      <c r="E113" s="60" t="s">
        <v>59</v>
      </c>
      <c r="F113" s="60" t="s">
        <v>60</v>
      </c>
      <c r="G113" s="60" t="s">
        <v>61</v>
      </c>
      <c r="H113" s="60" t="s">
        <v>96</v>
      </c>
      <c r="I113" s="2">
        <v>45432</v>
      </c>
      <c r="J113" t="s">
        <v>58</v>
      </c>
      <c r="K113" t="s">
        <v>58</v>
      </c>
      <c r="L113" t="s">
        <v>58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1CFBF-959B-4546-872D-2EA266F5ABCC}">
  <sheetPr codeName="Sheet5"/>
  <dimension ref="A1:H115"/>
  <sheetViews>
    <sheetView workbookViewId="0">
      <selection sqref="A1:H115"/>
    </sheetView>
  </sheetViews>
  <sheetFormatPr defaultRowHeight="15" x14ac:dyDescent="0.25"/>
  <cols>
    <col min="1" max="1" width="81.140625" bestFit="1" customWidth="1"/>
    <col min="2" max="2" width="71.140625" bestFit="1" customWidth="1"/>
    <col min="3" max="3" width="81.140625" bestFit="1" customWidth="1"/>
    <col min="4" max="4" width="36.7109375" bestFit="1" customWidth="1"/>
    <col min="5" max="5" width="50.85546875" bestFit="1" customWidth="1"/>
    <col min="6" max="6" width="21.140625" bestFit="1" customWidth="1"/>
    <col min="7" max="7" width="43.42578125" bestFit="1" customWidth="1"/>
    <col min="8" max="8" width="45.28515625" customWidth="1"/>
    <col min="9" max="9" width="15.140625" bestFit="1" customWidth="1"/>
    <col min="10" max="10" width="71.140625" bestFit="1" customWidth="1"/>
    <col min="11" max="11" width="67.28515625" bestFit="1" customWidth="1"/>
    <col min="12" max="12" width="36.7109375" bestFit="1" customWidth="1"/>
    <col min="13" max="13" width="50.85546875" bestFit="1" customWidth="1"/>
    <col min="14" max="14" width="21.140625" bestFit="1" customWidth="1"/>
    <col min="15" max="15" width="43.42578125" bestFit="1" customWidth="1"/>
    <col min="16" max="16" width="45.28515625" bestFit="1" customWidth="1"/>
    <col min="17" max="17" width="12.85546875" bestFit="1" customWidth="1"/>
  </cols>
  <sheetData>
    <row r="1" spans="1:8" x14ac:dyDescent="0.25">
      <c r="A1" t="s">
        <v>0</v>
      </c>
      <c r="B1" t="s">
        <v>1</v>
      </c>
      <c r="C1" t="s">
        <v>54</v>
      </c>
      <c r="D1" t="s">
        <v>3</v>
      </c>
      <c r="E1" t="s">
        <v>6</v>
      </c>
      <c r="F1" t="s">
        <v>7</v>
      </c>
      <c r="G1" t="s">
        <v>8</v>
      </c>
      <c r="H1" t="s">
        <v>9</v>
      </c>
    </row>
    <row r="2" spans="1:8" x14ac:dyDescent="0.25">
      <c r="A2" s="60" t="s">
        <v>174</v>
      </c>
      <c r="B2" t="s">
        <v>175</v>
      </c>
      <c r="C2" t="s">
        <v>176</v>
      </c>
      <c r="D2" t="s">
        <v>58</v>
      </c>
      <c r="E2" t="s">
        <v>177</v>
      </c>
      <c r="F2" t="s">
        <v>60</v>
      </c>
      <c r="G2" t="s">
        <v>14</v>
      </c>
      <c r="H2" t="s">
        <v>72</v>
      </c>
    </row>
    <row r="3" spans="1:8" x14ac:dyDescent="0.25">
      <c r="A3" s="60" t="s">
        <v>174</v>
      </c>
      <c r="B3" t="s">
        <v>56</v>
      </c>
      <c r="C3" t="s">
        <v>57</v>
      </c>
      <c r="D3" t="s">
        <v>58</v>
      </c>
      <c r="E3" t="s">
        <v>68</v>
      </c>
      <c r="F3" t="s">
        <v>60</v>
      </c>
      <c r="G3" t="s">
        <v>61</v>
      </c>
      <c r="H3" t="s">
        <v>62</v>
      </c>
    </row>
    <row r="4" spans="1:8" x14ac:dyDescent="0.25">
      <c r="A4" s="60" t="s">
        <v>178</v>
      </c>
      <c r="B4" t="s">
        <v>120</v>
      </c>
      <c r="C4" t="s">
        <v>179</v>
      </c>
      <c r="D4" t="s">
        <v>58</v>
      </c>
      <c r="E4" t="s">
        <v>180</v>
      </c>
      <c r="F4" t="s">
        <v>60</v>
      </c>
      <c r="G4" t="s">
        <v>14</v>
      </c>
      <c r="H4" t="s">
        <v>62</v>
      </c>
    </row>
    <row r="5" spans="1:8" x14ac:dyDescent="0.25">
      <c r="A5" s="60" t="s">
        <v>181</v>
      </c>
      <c r="B5" t="s">
        <v>182</v>
      </c>
      <c r="C5" t="s">
        <v>183</v>
      </c>
      <c r="D5" t="s">
        <v>58</v>
      </c>
      <c r="E5" t="s">
        <v>59</v>
      </c>
      <c r="F5" t="s">
        <v>60</v>
      </c>
      <c r="G5" t="s">
        <v>14</v>
      </c>
      <c r="H5" t="s">
        <v>72</v>
      </c>
    </row>
    <row r="6" spans="1:8" x14ac:dyDescent="0.25">
      <c r="A6" s="60" t="s">
        <v>184</v>
      </c>
      <c r="B6" t="s">
        <v>185</v>
      </c>
      <c r="C6" t="s">
        <v>186</v>
      </c>
      <c r="D6" t="s">
        <v>58</v>
      </c>
      <c r="E6" t="s">
        <v>59</v>
      </c>
      <c r="F6" t="s">
        <v>60</v>
      </c>
      <c r="G6" t="s">
        <v>14</v>
      </c>
      <c r="H6" t="s">
        <v>96</v>
      </c>
    </row>
    <row r="7" spans="1:8" x14ac:dyDescent="0.25">
      <c r="A7" s="60" t="s">
        <v>187</v>
      </c>
      <c r="B7" t="s">
        <v>73</v>
      </c>
      <c r="C7" t="s">
        <v>83</v>
      </c>
      <c r="D7" t="s">
        <v>150</v>
      </c>
      <c r="E7" t="s">
        <v>59</v>
      </c>
      <c r="F7" t="s">
        <v>60</v>
      </c>
      <c r="G7" t="s">
        <v>69</v>
      </c>
      <c r="H7" t="s">
        <v>72</v>
      </c>
    </row>
    <row r="8" spans="1:8" x14ac:dyDescent="0.25">
      <c r="A8" s="60" t="s">
        <v>188</v>
      </c>
      <c r="B8" t="s">
        <v>80</v>
      </c>
      <c r="C8" t="s">
        <v>189</v>
      </c>
      <c r="D8" t="s">
        <v>58</v>
      </c>
      <c r="E8" t="s">
        <v>64</v>
      </c>
      <c r="F8" t="s">
        <v>60</v>
      </c>
      <c r="G8" t="s">
        <v>109</v>
      </c>
      <c r="H8" t="s">
        <v>90</v>
      </c>
    </row>
    <row r="9" spans="1:8" x14ac:dyDescent="0.25">
      <c r="A9" s="60" t="s">
        <v>190</v>
      </c>
      <c r="B9" t="s">
        <v>152</v>
      </c>
      <c r="C9" t="s">
        <v>191</v>
      </c>
      <c r="D9" t="s">
        <v>58</v>
      </c>
      <c r="E9" t="s">
        <v>59</v>
      </c>
      <c r="F9" t="s">
        <v>60</v>
      </c>
      <c r="G9" t="s">
        <v>14</v>
      </c>
      <c r="H9" t="s">
        <v>72</v>
      </c>
    </row>
    <row r="10" spans="1:8" x14ac:dyDescent="0.25">
      <c r="A10" s="60" t="s">
        <v>192</v>
      </c>
      <c r="B10" t="s">
        <v>77</v>
      </c>
      <c r="C10" t="s">
        <v>193</v>
      </c>
      <c r="D10" t="s">
        <v>58</v>
      </c>
      <c r="E10" t="s">
        <v>68</v>
      </c>
      <c r="F10" t="s">
        <v>60</v>
      </c>
      <c r="G10" t="s">
        <v>61</v>
      </c>
      <c r="H10" t="s">
        <v>72</v>
      </c>
    </row>
    <row r="11" spans="1:8" x14ac:dyDescent="0.25">
      <c r="A11" s="60" t="s">
        <v>194</v>
      </c>
      <c r="B11" t="s">
        <v>75</v>
      </c>
      <c r="C11" t="s">
        <v>195</v>
      </c>
      <c r="D11" t="s">
        <v>58</v>
      </c>
      <c r="E11" t="s">
        <v>59</v>
      </c>
      <c r="F11" t="s">
        <v>60</v>
      </c>
      <c r="G11" t="s">
        <v>69</v>
      </c>
      <c r="H11" t="s">
        <v>72</v>
      </c>
    </row>
    <row r="12" spans="1:8" x14ac:dyDescent="0.25">
      <c r="A12" s="60" t="s">
        <v>196</v>
      </c>
      <c r="B12" t="s">
        <v>197</v>
      </c>
      <c r="C12" t="s">
        <v>83</v>
      </c>
      <c r="D12" t="s">
        <v>84</v>
      </c>
      <c r="E12" t="s">
        <v>59</v>
      </c>
      <c r="F12" t="s">
        <v>60</v>
      </c>
      <c r="G12" t="s">
        <v>69</v>
      </c>
      <c r="H12" t="s">
        <v>72</v>
      </c>
    </row>
    <row r="13" spans="1:8" x14ac:dyDescent="0.25">
      <c r="A13" s="60" t="s">
        <v>23</v>
      </c>
      <c r="B13" t="s">
        <v>66</v>
      </c>
      <c r="C13" t="s">
        <v>25</v>
      </c>
      <c r="D13" t="s">
        <v>58</v>
      </c>
      <c r="E13" t="s">
        <v>59</v>
      </c>
      <c r="F13" t="s">
        <v>60</v>
      </c>
      <c r="G13" t="s">
        <v>14</v>
      </c>
      <c r="H13" t="s">
        <v>72</v>
      </c>
    </row>
    <row r="14" spans="1:8" x14ac:dyDescent="0.25">
      <c r="A14" s="60" t="s">
        <v>198</v>
      </c>
      <c r="B14" t="s">
        <v>199</v>
      </c>
      <c r="C14" t="s">
        <v>200</v>
      </c>
      <c r="D14" t="s">
        <v>58</v>
      </c>
      <c r="E14" t="s">
        <v>59</v>
      </c>
      <c r="F14" t="s">
        <v>60</v>
      </c>
      <c r="G14" t="s">
        <v>81</v>
      </c>
      <c r="H14" t="s">
        <v>62</v>
      </c>
    </row>
    <row r="15" spans="1:8" x14ac:dyDescent="0.25">
      <c r="A15" s="60" t="s">
        <v>201</v>
      </c>
      <c r="B15" t="s">
        <v>116</v>
      </c>
      <c r="C15" t="s">
        <v>202</v>
      </c>
      <c r="D15" t="s">
        <v>58</v>
      </c>
      <c r="E15" t="s">
        <v>68</v>
      </c>
      <c r="F15" t="s">
        <v>60</v>
      </c>
      <c r="G15" t="s">
        <v>14</v>
      </c>
      <c r="H15" t="s">
        <v>72</v>
      </c>
    </row>
    <row r="16" spans="1:8" x14ac:dyDescent="0.25">
      <c r="A16" s="60" t="s">
        <v>203</v>
      </c>
      <c r="B16" t="s">
        <v>97</v>
      </c>
      <c r="C16" t="s">
        <v>98</v>
      </c>
      <c r="D16" t="s">
        <v>58</v>
      </c>
      <c r="E16" t="s">
        <v>59</v>
      </c>
      <c r="F16" t="s">
        <v>60</v>
      </c>
      <c r="G16" t="s">
        <v>14</v>
      </c>
      <c r="H16" t="s">
        <v>62</v>
      </c>
    </row>
    <row r="17" spans="1:8" x14ac:dyDescent="0.25">
      <c r="A17" s="60" t="s">
        <v>204</v>
      </c>
      <c r="B17" t="s">
        <v>205</v>
      </c>
      <c r="C17" t="s">
        <v>206</v>
      </c>
      <c r="D17" t="s">
        <v>58</v>
      </c>
      <c r="E17" t="s">
        <v>59</v>
      </c>
      <c r="F17" t="s">
        <v>60</v>
      </c>
      <c r="G17" t="s">
        <v>14</v>
      </c>
      <c r="H17" t="s">
        <v>72</v>
      </c>
    </row>
    <row r="18" spans="1:8" x14ac:dyDescent="0.25">
      <c r="A18" s="60" t="s">
        <v>207</v>
      </c>
      <c r="B18" t="s">
        <v>75</v>
      </c>
      <c r="C18" t="s">
        <v>206</v>
      </c>
      <c r="D18" t="s">
        <v>58</v>
      </c>
      <c r="E18" t="s">
        <v>59</v>
      </c>
      <c r="F18" t="s">
        <v>60</v>
      </c>
      <c r="G18" t="s">
        <v>14</v>
      </c>
      <c r="H18" t="s">
        <v>72</v>
      </c>
    </row>
    <row r="19" spans="1:8" x14ac:dyDescent="0.25">
      <c r="A19" s="60" t="s">
        <v>174</v>
      </c>
      <c r="B19" t="s">
        <v>88</v>
      </c>
      <c r="C19" t="s">
        <v>89</v>
      </c>
      <c r="D19" t="s">
        <v>58</v>
      </c>
      <c r="E19" t="s">
        <v>68</v>
      </c>
      <c r="F19" t="s">
        <v>60</v>
      </c>
      <c r="G19" t="s">
        <v>14</v>
      </c>
      <c r="H19" t="s">
        <v>65</v>
      </c>
    </row>
    <row r="20" spans="1:8" x14ac:dyDescent="0.25">
      <c r="A20" s="60" t="s">
        <v>208</v>
      </c>
      <c r="B20" t="s">
        <v>73</v>
      </c>
      <c r="C20" t="s">
        <v>209</v>
      </c>
      <c r="D20" t="s">
        <v>58</v>
      </c>
      <c r="E20" t="s">
        <v>59</v>
      </c>
      <c r="F20" t="s">
        <v>60</v>
      </c>
      <c r="G20" t="s">
        <v>14</v>
      </c>
      <c r="H20" t="s">
        <v>72</v>
      </c>
    </row>
    <row r="21" spans="1:8" x14ac:dyDescent="0.25">
      <c r="A21" s="60" t="s">
        <v>210</v>
      </c>
      <c r="B21" t="s">
        <v>156</v>
      </c>
      <c r="C21" t="s">
        <v>211</v>
      </c>
      <c r="D21" t="s">
        <v>58</v>
      </c>
      <c r="E21" t="s">
        <v>59</v>
      </c>
      <c r="F21" t="s">
        <v>60</v>
      </c>
      <c r="G21" t="s">
        <v>14</v>
      </c>
      <c r="H21" t="s">
        <v>96</v>
      </c>
    </row>
    <row r="22" spans="1:8" x14ac:dyDescent="0.25">
      <c r="A22" s="60" t="s">
        <v>212</v>
      </c>
      <c r="B22" t="s">
        <v>75</v>
      </c>
      <c r="C22" t="s">
        <v>213</v>
      </c>
      <c r="D22" t="s">
        <v>214</v>
      </c>
      <c r="E22" t="s">
        <v>59</v>
      </c>
      <c r="F22" t="s">
        <v>60</v>
      </c>
      <c r="G22" t="s">
        <v>14</v>
      </c>
      <c r="H22" t="s">
        <v>72</v>
      </c>
    </row>
    <row r="23" spans="1:8" x14ac:dyDescent="0.25">
      <c r="A23" s="60" t="s">
        <v>207</v>
      </c>
      <c r="B23" t="s">
        <v>80</v>
      </c>
      <c r="C23" t="s">
        <v>215</v>
      </c>
      <c r="D23" t="s">
        <v>58</v>
      </c>
      <c r="E23" t="s">
        <v>79</v>
      </c>
      <c r="F23" t="s">
        <v>60</v>
      </c>
      <c r="G23" t="s">
        <v>109</v>
      </c>
      <c r="H23" t="s">
        <v>105</v>
      </c>
    </row>
    <row r="24" spans="1:8" x14ac:dyDescent="0.25">
      <c r="A24" s="60" t="s">
        <v>204</v>
      </c>
      <c r="B24" t="s">
        <v>91</v>
      </c>
      <c r="C24" t="s">
        <v>101</v>
      </c>
      <c r="D24" t="s">
        <v>102</v>
      </c>
      <c r="E24" t="s">
        <v>59</v>
      </c>
      <c r="F24" t="s">
        <v>60</v>
      </c>
      <c r="G24" t="s">
        <v>69</v>
      </c>
      <c r="H24" t="s">
        <v>70</v>
      </c>
    </row>
    <row r="25" spans="1:8" x14ac:dyDescent="0.25">
      <c r="A25" s="60" t="s">
        <v>216</v>
      </c>
      <c r="B25" t="s">
        <v>73</v>
      </c>
      <c r="C25" t="s">
        <v>76</v>
      </c>
      <c r="D25" t="s">
        <v>217</v>
      </c>
      <c r="E25" t="s">
        <v>59</v>
      </c>
      <c r="F25" t="s">
        <v>60</v>
      </c>
      <c r="G25" t="s">
        <v>69</v>
      </c>
      <c r="H25" t="s">
        <v>72</v>
      </c>
    </row>
    <row r="26" spans="1:8" x14ac:dyDescent="0.25">
      <c r="A26" s="60" t="s">
        <v>218</v>
      </c>
      <c r="B26" t="s">
        <v>219</v>
      </c>
      <c r="C26" t="s">
        <v>220</v>
      </c>
      <c r="D26" t="s">
        <v>58</v>
      </c>
      <c r="E26" t="s">
        <v>59</v>
      </c>
      <c r="F26" t="s">
        <v>60</v>
      </c>
      <c r="G26" t="s">
        <v>14</v>
      </c>
      <c r="H26" t="s">
        <v>96</v>
      </c>
    </row>
    <row r="27" spans="1:8" x14ac:dyDescent="0.25">
      <c r="A27" s="60" t="s">
        <v>221</v>
      </c>
      <c r="B27" t="s">
        <v>103</v>
      </c>
      <c r="C27" t="s">
        <v>104</v>
      </c>
      <c r="D27" t="s">
        <v>58</v>
      </c>
      <c r="E27" t="s">
        <v>79</v>
      </c>
      <c r="F27" t="s">
        <v>60</v>
      </c>
      <c r="G27" t="s">
        <v>61</v>
      </c>
      <c r="H27" t="s">
        <v>105</v>
      </c>
    </row>
    <row r="28" spans="1:8" x14ac:dyDescent="0.25">
      <c r="A28" s="60" t="s">
        <v>222</v>
      </c>
      <c r="B28" t="s">
        <v>106</v>
      </c>
      <c r="C28" t="s">
        <v>107</v>
      </c>
      <c r="D28" t="s">
        <v>108</v>
      </c>
      <c r="E28" t="s">
        <v>59</v>
      </c>
      <c r="F28" t="s">
        <v>60</v>
      </c>
      <c r="G28" t="s">
        <v>109</v>
      </c>
      <c r="H28" t="s">
        <v>72</v>
      </c>
    </row>
    <row r="29" spans="1:8" x14ac:dyDescent="0.25">
      <c r="A29" s="60" t="s">
        <v>223</v>
      </c>
      <c r="B29" t="s">
        <v>224</v>
      </c>
      <c r="C29" t="s">
        <v>225</v>
      </c>
      <c r="D29" t="s">
        <v>58</v>
      </c>
      <c r="E29" t="s">
        <v>59</v>
      </c>
      <c r="F29" t="s">
        <v>60</v>
      </c>
      <c r="G29" t="s">
        <v>61</v>
      </c>
      <c r="H29" t="s">
        <v>72</v>
      </c>
    </row>
    <row r="30" spans="1:8" x14ac:dyDescent="0.25">
      <c r="A30" s="60" t="s">
        <v>226</v>
      </c>
      <c r="B30" t="s">
        <v>94</v>
      </c>
      <c r="C30" t="s">
        <v>227</v>
      </c>
      <c r="D30" t="s">
        <v>228</v>
      </c>
      <c r="E30" t="s">
        <v>79</v>
      </c>
      <c r="F30" t="s">
        <v>60</v>
      </c>
      <c r="G30" t="s">
        <v>61</v>
      </c>
      <c r="H30" t="s">
        <v>100</v>
      </c>
    </row>
    <row r="31" spans="1:8" x14ac:dyDescent="0.25">
      <c r="A31" s="60" t="s">
        <v>229</v>
      </c>
      <c r="B31" t="s">
        <v>80</v>
      </c>
      <c r="C31" t="s">
        <v>230</v>
      </c>
      <c r="D31" t="s">
        <v>58</v>
      </c>
      <c r="E31" t="s">
        <v>59</v>
      </c>
      <c r="F31" t="s">
        <v>60</v>
      </c>
      <c r="G31" t="s">
        <v>69</v>
      </c>
      <c r="H31" t="s">
        <v>70</v>
      </c>
    </row>
    <row r="32" spans="1:8" x14ac:dyDescent="0.25">
      <c r="A32" s="60" t="s">
        <v>231</v>
      </c>
      <c r="B32" t="s">
        <v>133</v>
      </c>
      <c r="C32" t="s">
        <v>172</v>
      </c>
      <c r="D32" t="s">
        <v>58</v>
      </c>
      <c r="E32" t="s">
        <v>68</v>
      </c>
      <c r="F32" t="s">
        <v>60</v>
      </c>
      <c r="G32" t="s">
        <v>14</v>
      </c>
      <c r="H32" t="s">
        <v>96</v>
      </c>
    </row>
    <row r="33" spans="1:8" x14ac:dyDescent="0.25">
      <c r="A33" s="60" t="s">
        <v>232</v>
      </c>
      <c r="B33" t="s">
        <v>71</v>
      </c>
      <c r="C33" t="s">
        <v>233</v>
      </c>
      <c r="D33" t="s">
        <v>58</v>
      </c>
      <c r="E33" t="s">
        <v>59</v>
      </c>
      <c r="F33" t="s">
        <v>60</v>
      </c>
      <c r="G33" t="s">
        <v>14</v>
      </c>
      <c r="H33" t="s">
        <v>72</v>
      </c>
    </row>
    <row r="34" spans="1:8" x14ac:dyDescent="0.25">
      <c r="A34" s="60" t="s">
        <v>234</v>
      </c>
      <c r="B34" t="s">
        <v>116</v>
      </c>
      <c r="C34" t="s">
        <v>235</v>
      </c>
      <c r="D34" t="s">
        <v>58</v>
      </c>
      <c r="E34" t="s">
        <v>59</v>
      </c>
      <c r="F34" t="s">
        <v>60</v>
      </c>
      <c r="G34" t="s">
        <v>61</v>
      </c>
      <c r="H34" t="s">
        <v>62</v>
      </c>
    </row>
    <row r="35" spans="1:8" x14ac:dyDescent="0.25">
      <c r="A35" s="60" t="s">
        <v>236</v>
      </c>
      <c r="B35" t="s">
        <v>237</v>
      </c>
      <c r="C35" t="s">
        <v>238</v>
      </c>
      <c r="D35" t="s">
        <v>58</v>
      </c>
      <c r="E35" t="s">
        <v>239</v>
      </c>
      <c r="F35" t="s">
        <v>60</v>
      </c>
      <c r="G35" t="s">
        <v>61</v>
      </c>
      <c r="H35" t="s">
        <v>62</v>
      </c>
    </row>
    <row r="36" spans="1:8" x14ac:dyDescent="0.25">
      <c r="A36" s="60" t="s">
        <v>240</v>
      </c>
      <c r="B36" t="s">
        <v>71</v>
      </c>
      <c r="C36" t="s">
        <v>241</v>
      </c>
      <c r="D36" t="s">
        <v>155</v>
      </c>
      <c r="E36" t="s">
        <v>59</v>
      </c>
      <c r="F36" t="s">
        <v>60</v>
      </c>
      <c r="G36" t="s">
        <v>69</v>
      </c>
      <c r="H36" t="s">
        <v>72</v>
      </c>
    </row>
    <row r="37" spans="1:8" x14ac:dyDescent="0.25">
      <c r="A37" s="60" t="s">
        <v>242</v>
      </c>
      <c r="B37" t="s">
        <v>243</v>
      </c>
      <c r="C37" t="s">
        <v>244</v>
      </c>
      <c r="D37" t="s">
        <v>245</v>
      </c>
      <c r="E37" t="s">
        <v>59</v>
      </c>
      <c r="F37" t="s">
        <v>60</v>
      </c>
      <c r="G37" t="s">
        <v>14</v>
      </c>
      <c r="H37" t="s">
        <v>100</v>
      </c>
    </row>
    <row r="38" spans="1:8" x14ac:dyDescent="0.25">
      <c r="A38" s="60" t="s">
        <v>246</v>
      </c>
      <c r="B38" t="s">
        <v>156</v>
      </c>
      <c r="C38" t="s">
        <v>247</v>
      </c>
      <c r="D38" t="s">
        <v>58</v>
      </c>
      <c r="E38" t="s">
        <v>64</v>
      </c>
      <c r="F38" t="s">
        <v>60</v>
      </c>
      <c r="G38" t="s">
        <v>109</v>
      </c>
      <c r="H38" t="s">
        <v>72</v>
      </c>
    </row>
    <row r="39" spans="1:8" x14ac:dyDescent="0.25">
      <c r="A39" s="60" t="s">
        <v>248</v>
      </c>
      <c r="B39" t="s">
        <v>88</v>
      </c>
      <c r="C39" t="s">
        <v>89</v>
      </c>
      <c r="D39" t="s">
        <v>58</v>
      </c>
      <c r="E39" t="s">
        <v>59</v>
      </c>
      <c r="F39" t="s">
        <v>60</v>
      </c>
      <c r="G39" t="s">
        <v>14</v>
      </c>
      <c r="H39" t="s">
        <v>65</v>
      </c>
    </row>
    <row r="40" spans="1:8" x14ac:dyDescent="0.25">
      <c r="A40" s="60" t="s">
        <v>249</v>
      </c>
      <c r="B40" t="s">
        <v>91</v>
      </c>
      <c r="C40" t="s">
        <v>165</v>
      </c>
      <c r="D40" t="s">
        <v>250</v>
      </c>
      <c r="E40" t="s">
        <v>59</v>
      </c>
      <c r="F40" t="s">
        <v>60</v>
      </c>
      <c r="G40" t="s">
        <v>69</v>
      </c>
      <c r="H40" t="s">
        <v>72</v>
      </c>
    </row>
    <row r="41" spans="1:8" x14ac:dyDescent="0.25">
      <c r="A41" s="60" t="s">
        <v>223</v>
      </c>
      <c r="B41" t="s">
        <v>251</v>
      </c>
      <c r="C41" t="s">
        <v>252</v>
      </c>
      <c r="D41" t="s">
        <v>58</v>
      </c>
      <c r="E41" t="s">
        <v>59</v>
      </c>
      <c r="F41" t="s">
        <v>60</v>
      </c>
      <c r="G41" t="s">
        <v>61</v>
      </c>
      <c r="H41" t="s">
        <v>70</v>
      </c>
    </row>
    <row r="42" spans="1:8" x14ac:dyDescent="0.25">
      <c r="A42" s="60" t="s">
        <v>253</v>
      </c>
      <c r="B42" t="s">
        <v>254</v>
      </c>
      <c r="C42" t="s">
        <v>255</v>
      </c>
      <c r="D42" t="s">
        <v>58</v>
      </c>
      <c r="E42" t="s">
        <v>59</v>
      </c>
      <c r="F42" t="s">
        <v>60</v>
      </c>
      <c r="G42" t="s">
        <v>14</v>
      </c>
      <c r="H42" t="s">
        <v>72</v>
      </c>
    </row>
    <row r="43" spans="1:8" x14ac:dyDescent="0.25">
      <c r="A43" s="60" t="s">
        <v>256</v>
      </c>
      <c r="B43" t="s">
        <v>257</v>
      </c>
      <c r="C43" t="s">
        <v>258</v>
      </c>
      <c r="D43" t="s">
        <v>58</v>
      </c>
      <c r="E43" t="s">
        <v>59</v>
      </c>
      <c r="F43" t="s">
        <v>60</v>
      </c>
      <c r="G43" t="s">
        <v>14</v>
      </c>
      <c r="H43" t="s">
        <v>65</v>
      </c>
    </row>
    <row r="44" spans="1:8" x14ac:dyDescent="0.25">
      <c r="A44" s="60" t="s">
        <v>259</v>
      </c>
      <c r="B44" t="s">
        <v>197</v>
      </c>
      <c r="C44" t="s">
        <v>83</v>
      </c>
      <c r="D44" t="s">
        <v>260</v>
      </c>
      <c r="E44" t="s">
        <v>59</v>
      </c>
      <c r="F44" t="s">
        <v>60</v>
      </c>
      <c r="G44" t="s">
        <v>69</v>
      </c>
      <c r="H44" t="s">
        <v>72</v>
      </c>
    </row>
    <row r="45" spans="1:8" x14ac:dyDescent="0.25">
      <c r="A45" s="60" t="s">
        <v>261</v>
      </c>
      <c r="B45" t="s">
        <v>86</v>
      </c>
      <c r="C45" t="s">
        <v>87</v>
      </c>
      <c r="D45" t="s">
        <v>58</v>
      </c>
      <c r="E45" t="s">
        <v>74</v>
      </c>
      <c r="F45" t="s">
        <v>60</v>
      </c>
      <c r="G45" t="s">
        <v>14</v>
      </c>
      <c r="H45" t="s">
        <v>72</v>
      </c>
    </row>
    <row r="46" spans="1:8" x14ac:dyDescent="0.25">
      <c r="A46" s="60" t="s">
        <v>262</v>
      </c>
      <c r="B46" t="s">
        <v>263</v>
      </c>
      <c r="C46" t="s">
        <v>264</v>
      </c>
      <c r="D46" t="s">
        <v>58</v>
      </c>
      <c r="E46" t="s">
        <v>74</v>
      </c>
      <c r="F46" t="s">
        <v>60</v>
      </c>
      <c r="G46" t="s">
        <v>14</v>
      </c>
      <c r="H46" t="s">
        <v>72</v>
      </c>
    </row>
    <row r="47" spans="1:8" x14ac:dyDescent="0.25">
      <c r="A47" s="60" t="s">
        <v>249</v>
      </c>
      <c r="B47" t="s">
        <v>137</v>
      </c>
      <c r="C47" t="s">
        <v>265</v>
      </c>
      <c r="D47" t="s">
        <v>58</v>
      </c>
      <c r="E47" t="s">
        <v>59</v>
      </c>
      <c r="F47" t="s">
        <v>60</v>
      </c>
      <c r="G47" t="s">
        <v>14</v>
      </c>
      <c r="H47" t="s">
        <v>72</v>
      </c>
    </row>
    <row r="48" spans="1:8" x14ac:dyDescent="0.25">
      <c r="A48" s="60" t="s">
        <v>204</v>
      </c>
      <c r="B48" t="s">
        <v>71</v>
      </c>
      <c r="C48" t="s">
        <v>266</v>
      </c>
      <c r="D48" t="s">
        <v>58</v>
      </c>
      <c r="E48" t="s">
        <v>59</v>
      </c>
      <c r="F48" t="s">
        <v>60</v>
      </c>
      <c r="G48" t="s">
        <v>14</v>
      </c>
      <c r="H48" t="s">
        <v>72</v>
      </c>
    </row>
    <row r="49" spans="1:8" x14ac:dyDescent="0.25">
      <c r="A49" s="60" t="s">
        <v>267</v>
      </c>
      <c r="B49" t="s">
        <v>71</v>
      </c>
      <c r="C49" t="s">
        <v>268</v>
      </c>
      <c r="D49" t="s">
        <v>58</v>
      </c>
      <c r="E49" t="s">
        <v>74</v>
      </c>
      <c r="F49" t="s">
        <v>60</v>
      </c>
      <c r="G49" t="s">
        <v>14</v>
      </c>
      <c r="H49" t="s">
        <v>105</v>
      </c>
    </row>
    <row r="50" spans="1:8" x14ac:dyDescent="0.25">
      <c r="A50" s="60" t="s">
        <v>269</v>
      </c>
      <c r="B50" t="s">
        <v>73</v>
      </c>
      <c r="C50" t="s">
        <v>159</v>
      </c>
      <c r="D50" t="s">
        <v>270</v>
      </c>
      <c r="E50" t="s">
        <v>59</v>
      </c>
      <c r="F50" t="s">
        <v>60</v>
      </c>
      <c r="G50" t="s">
        <v>69</v>
      </c>
      <c r="H50" t="s">
        <v>72</v>
      </c>
    </row>
    <row r="51" spans="1:8" x14ac:dyDescent="0.25">
      <c r="A51" s="60" t="s">
        <v>271</v>
      </c>
      <c r="B51" t="s">
        <v>99</v>
      </c>
      <c r="C51" t="s">
        <v>93</v>
      </c>
      <c r="D51" t="s">
        <v>58</v>
      </c>
      <c r="E51" t="s">
        <v>59</v>
      </c>
      <c r="F51" t="s">
        <v>60</v>
      </c>
      <c r="G51" t="s">
        <v>14</v>
      </c>
      <c r="H51" t="s">
        <v>72</v>
      </c>
    </row>
    <row r="52" spans="1:8" x14ac:dyDescent="0.25">
      <c r="A52" s="60" t="s">
        <v>0</v>
      </c>
      <c r="B52" t="s">
        <v>1</v>
      </c>
      <c r="C52" t="s">
        <v>54</v>
      </c>
      <c r="D52" t="s">
        <v>3</v>
      </c>
      <c r="E52" t="s">
        <v>6</v>
      </c>
      <c r="F52" t="s">
        <v>7</v>
      </c>
      <c r="G52" t="s">
        <v>8</v>
      </c>
      <c r="H52" t="s">
        <v>9</v>
      </c>
    </row>
    <row r="53" spans="1:8" x14ac:dyDescent="0.25">
      <c r="A53" s="60" t="s">
        <v>272</v>
      </c>
      <c r="B53" t="s">
        <v>111</v>
      </c>
      <c r="C53" t="s">
        <v>112</v>
      </c>
      <c r="D53" t="s">
        <v>113</v>
      </c>
      <c r="E53" t="s">
        <v>79</v>
      </c>
      <c r="F53" t="s">
        <v>60</v>
      </c>
      <c r="G53" t="s">
        <v>14</v>
      </c>
      <c r="H53" t="s">
        <v>65</v>
      </c>
    </row>
    <row r="54" spans="1:8" x14ac:dyDescent="0.25">
      <c r="A54" s="60" t="s">
        <v>273</v>
      </c>
      <c r="B54" t="s">
        <v>71</v>
      </c>
      <c r="C54" t="s">
        <v>89</v>
      </c>
      <c r="D54" t="s">
        <v>58</v>
      </c>
      <c r="E54" t="s">
        <v>110</v>
      </c>
      <c r="F54" t="s">
        <v>60</v>
      </c>
      <c r="G54" t="s">
        <v>14</v>
      </c>
      <c r="H54" t="s">
        <v>65</v>
      </c>
    </row>
    <row r="55" spans="1:8" x14ac:dyDescent="0.25">
      <c r="A55" s="60" t="s">
        <v>273</v>
      </c>
      <c r="B55" t="s">
        <v>71</v>
      </c>
      <c r="C55" t="s">
        <v>89</v>
      </c>
      <c r="D55" t="s">
        <v>58</v>
      </c>
      <c r="E55" t="s">
        <v>110</v>
      </c>
      <c r="F55" t="s">
        <v>60</v>
      </c>
      <c r="G55" t="s">
        <v>14</v>
      </c>
      <c r="H55" t="s">
        <v>65</v>
      </c>
    </row>
    <row r="56" spans="1:8" x14ac:dyDescent="0.25">
      <c r="A56" s="60" t="s">
        <v>274</v>
      </c>
      <c r="B56" t="s">
        <v>88</v>
      </c>
      <c r="C56" t="s">
        <v>89</v>
      </c>
      <c r="D56" t="s">
        <v>58</v>
      </c>
      <c r="E56" t="s">
        <v>110</v>
      </c>
      <c r="F56" t="s">
        <v>60</v>
      </c>
      <c r="G56" t="s">
        <v>14</v>
      </c>
      <c r="H56" t="s">
        <v>65</v>
      </c>
    </row>
    <row r="57" spans="1:8" x14ac:dyDescent="0.25">
      <c r="A57" s="60" t="s">
        <v>275</v>
      </c>
      <c r="B57" t="s">
        <v>73</v>
      </c>
      <c r="C57" t="s">
        <v>114</v>
      </c>
      <c r="D57" t="s">
        <v>115</v>
      </c>
      <c r="E57" t="s">
        <v>74</v>
      </c>
      <c r="F57" t="s">
        <v>60</v>
      </c>
      <c r="G57" t="s">
        <v>69</v>
      </c>
      <c r="H57" t="s">
        <v>62</v>
      </c>
    </row>
    <row r="58" spans="1:8" x14ac:dyDescent="0.25">
      <c r="A58" s="60" t="s">
        <v>276</v>
      </c>
      <c r="B58" t="s">
        <v>116</v>
      </c>
      <c r="C58" t="s">
        <v>117</v>
      </c>
      <c r="D58" t="s">
        <v>118</v>
      </c>
      <c r="E58" t="s">
        <v>64</v>
      </c>
      <c r="F58" t="s">
        <v>60</v>
      </c>
      <c r="G58" t="s">
        <v>119</v>
      </c>
      <c r="H58" t="s">
        <v>72</v>
      </c>
    </row>
    <row r="59" spans="1:8" x14ac:dyDescent="0.25">
      <c r="A59" s="60" t="s">
        <v>276</v>
      </c>
      <c r="B59" t="s">
        <v>120</v>
      </c>
      <c r="C59" t="s">
        <v>121</v>
      </c>
      <c r="D59" t="s">
        <v>58</v>
      </c>
      <c r="E59" t="s">
        <v>59</v>
      </c>
      <c r="F59" t="s">
        <v>60</v>
      </c>
      <c r="G59" t="s">
        <v>14</v>
      </c>
      <c r="H59" t="s">
        <v>62</v>
      </c>
    </row>
    <row r="60" spans="1:8" x14ac:dyDescent="0.25">
      <c r="A60" s="60" t="s">
        <v>276</v>
      </c>
      <c r="B60" t="s">
        <v>78</v>
      </c>
      <c r="C60" t="s">
        <v>122</v>
      </c>
      <c r="D60" t="s">
        <v>58</v>
      </c>
      <c r="E60" t="s">
        <v>59</v>
      </c>
      <c r="F60" t="s">
        <v>60</v>
      </c>
      <c r="G60" t="s">
        <v>61</v>
      </c>
      <c r="H60" t="s">
        <v>62</v>
      </c>
    </row>
    <row r="61" spans="1:8" x14ac:dyDescent="0.25">
      <c r="A61" s="60" t="s">
        <v>277</v>
      </c>
      <c r="B61" t="s">
        <v>103</v>
      </c>
      <c r="C61" t="s">
        <v>123</v>
      </c>
      <c r="D61" t="s">
        <v>58</v>
      </c>
      <c r="E61" t="s">
        <v>59</v>
      </c>
      <c r="F61" t="s">
        <v>60</v>
      </c>
      <c r="G61" t="s">
        <v>14</v>
      </c>
      <c r="H61" t="s">
        <v>62</v>
      </c>
    </row>
    <row r="62" spans="1:8" x14ac:dyDescent="0.25">
      <c r="A62" s="60" t="s">
        <v>278</v>
      </c>
      <c r="B62" t="s">
        <v>63</v>
      </c>
      <c r="C62" t="s">
        <v>123</v>
      </c>
      <c r="D62" t="s">
        <v>58</v>
      </c>
      <c r="E62" t="s">
        <v>59</v>
      </c>
      <c r="F62" t="s">
        <v>60</v>
      </c>
      <c r="G62" t="s">
        <v>14</v>
      </c>
      <c r="H62" t="s">
        <v>62</v>
      </c>
    </row>
    <row r="63" spans="1:8" x14ac:dyDescent="0.25">
      <c r="A63" s="60" t="s">
        <v>279</v>
      </c>
      <c r="B63" t="s">
        <v>71</v>
      </c>
      <c r="C63" t="s">
        <v>124</v>
      </c>
      <c r="D63" t="s">
        <v>125</v>
      </c>
      <c r="E63" t="s">
        <v>64</v>
      </c>
      <c r="F63" t="s">
        <v>126</v>
      </c>
      <c r="G63" t="s">
        <v>109</v>
      </c>
      <c r="H63" t="s">
        <v>62</v>
      </c>
    </row>
    <row r="64" spans="1:8" x14ac:dyDescent="0.25">
      <c r="A64" s="60" t="s">
        <v>280</v>
      </c>
      <c r="B64" t="s">
        <v>39</v>
      </c>
      <c r="C64" t="s">
        <v>127</v>
      </c>
      <c r="D64" t="s">
        <v>128</v>
      </c>
      <c r="E64" t="s">
        <v>59</v>
      </c>
      <c r="F64" t="s">
        <v>60</v>
      </c>
      <c r="G64" t="s">
        <v>14</v>
      </c>
      <c r="H64" t="s">
        <v>72</v>
      </c>
    </row>
    <row r="65" spans="1:8" x14ac:dyDescent="0.25">
      <c r="A65" s="60" t="s">
        <v>0</v>
      </c>
      <c r="B65" t="s">
        <v>1</v>
      </c>
      <c r="C65" t="s">
        <v>54</v>
      </c>
      <c r="D65" t="s">
        <v>3</v>
      </c>
      <c r="E65" t="s">
        <v>6</v>
      </c>
      <c r="F65" t="s">
        <v>7</v>
      </c>
      <c r="G65" t="s">
        <v>8</v>
      </c>
      <c r="H65" t="s">
        <v>9</v>
      </c>
    </row>
    <row r="66" spans="1:8" x14ac:dyDescent="0.25">
      <c r="A66" s="60" t="s">
        <v>281</v>
      </c>
      <c r="B66" t="s">
        <v>71</v>
      </c>
      <c r="C66" t="s">
        <v>282</v>
      </c>
      <c r="D66" t="s">
        <v>58</v>
      </c>
      <c r="E66" t="s">
        <v>68</v>
      </c>
      <c r="F66" t="s">
        <v>60</v>
      </c>
      <c r="G66" t="s">
        <v>14</v>
      </c>
      <c r="H66" t="s">
        <v>62</v>
      </c>
    </row>
    <row r="67" spans="1:8" x14ac:dyDescent="0.25">
      <c r="A67" s="60" t="s">
        <v>181</v>
      </c>
      <c r="B67" t="s">
        <v>182</v>
      </c>
      <c r="C67" t="s">
        <v>183</v>
      </c>
      <c r="D67" t="s">
        <v>58</v>
      </c>
      <c r="E67" t="s">
        <v>59</v>
      </c>
      <c r="F67" t="s">
        <v>60</v>
      </c>
      <c r="G67" t="s">
        <v>14</v>
      </c>
      <c r="H67" t="s">
        <v>72</v>
      </c>
    </row>
    <row r="68" spans="1:8" x14ac:dyDescent="0.25">
      <c r="A68" s="60" t="s">
        <v>283</v>
      </c>
      <c r="B68" t="s">
        <v>66</v>
      </c>
      <c r="C68" t="s">
        <v>284</v>
      </c>
      <c r="D68" t="s">
        <v>58</v>
      </c>
      <c r="E68" t="s">
        <v>110</v>
      </c>
      <c r="F68" t="s">
        <v>60</v>
      </c>
      <c r="G68" t="s">
        <v>69</v>
      </c>
      <c r="H68" t="s">
        <v>72</v>
      </c>
    </row>
    <row r="69" spans="1:8" x14ac:dyDescent="0.25">
      <c r="A69" s="60" t="s">
        <v>285</v>
      </c>
      <c r="B69" t="s">
        <v>156</v>
      </c>
      <c r="C69" t="s">
        <v>157</v>
      </c>
      <c r="D69" t="s">
        <v>158</v>
      </c>
      <c r="E69" t="s">
        <v>59</v>
      </c>
      <c r="F69" t="s">
        <v>60</v>
      </c>
      <c r="G69" t="s">
        <v>61</v>
      </c>
      <c r="H69" t="s">
        <v>62</v>
      </c>
    </row>
    <row r="70" spans="1:8" x14ac:dyDescent="0.25">
      <c r="A70" s="60" t="s">
        <v>286</v>
      </c>
      <c r="B70" t="s">
        <v>287</v>
      </c>
      <c r="C70" t="s">
        <v>170</v>
      </c>
      <c r="D70" t="s">
        <v>58</v>
      </c>
      <c r="E70" t="s">
        <v>59</v>
      </c>
      <c r="F70" t="s">
        <v>60</v>
      </c>
      <c r="G70" t="s">
        <v>14</v>
      </c>
      <c r="H70" t="s">
        <v>70</v>
      </c>
    </row>
    <row r="71" spans="1:8" x14ac:dyDescent="0.25">
      <c r="A71" s="60" t="s">
        <v>288</v>
      </c>
      <c r="B71" t="s">
        <v>66</v>
      </c>
      <c r="C71" t="s">
        <v>289</v>
      </c>
      <c r="D71" t="s">
        <v>290</v>
      </c>
      <c r="E71" t="s">
        <v>79</v>
      </c>
      <c r="F71" t="s">
        <v>60</v>
      </c>
      <c r="G71" t="s">
        <v>69</v>
      </c>
      <c r="H71" t="s">
        <v>72</v>
      </c>
    </row>
    <row r="72" spans="1:8" x14ac:dyDescent="0.25">
      <c r="A72" s="60" t="s">
        <v>291</v>
      </c>
      <c r="B72" t="s">
        <v>73</v>
      </c>
      <c r="C72" t="s">
        <v>292</v>
      </c>
      <c r="D72" t="s">
        <v>58</v>
      </c>
      <c r="E72" t="s">
        <v>59</v>
      </c>
      <c r="F72" t="s">
        <v>60</v>
      </c>
      <c r="G72" t="s">
        <v>61</v>
      </c>
      <c r="H72" t="s">
        <v>62</v>
      </c>
    </row>
    <row r="73" spans="1:8" x14ac:dyDescent="0.25">
      <c r="A73" s="60" t="s">
        <v>285</v>
      </c>
      <c r="B73" t="s">
        <v>205</v>
      </c>
      <c r="C73" t="s">
        <v>206</v>
      </c>
      <c r="D73" t="s">
        <v>58</v>
      </c>
      <c r="E73" t="s">
        <v>59</v>
      </c>
      <c r="F73" t="s">
        <v>60</v>
      </c>
      <c r="G73" t="s">
        <v>14</v>
      </c>
      <c r="H73" t="s">
        <v>72</v>
      </c>
    </row>
    <row r="74" spans="1:8" x14ac:dyDescent="0.25">
      <c r="A74" s="60" t="s">
        <v>293</v>
      </c>
      <c r="B74" t="s">
        <v>91</v>
      </c>
      <c r="C74" t="s">
        <v>294</v>
      </c>
      <c r="D74" t="s">
        <v>58</v>
      </c>
      <c r="E74" t="s">
        <v>68</v>
      </c>
      <c r="F74" t="s">
        <v>60</v>
      </c>
      <c r="G74" t="s">
        <v>69</v>
      </c>
      <c r="H74" t="s">
        <v>100</v>
      </c>
    </row>
    <row r="75" spans="1:8" x14ac:dyDescent="0.25">
      <c r="A75" s="60" t="s">
        <v>295</v>
      </c>
      <c r="B75" t="s">
        <v>91</v>
      </c>
      <c r="C75" t="s">
        <v>296</v>
      </c>
      <c r="D75" t="s">
        <v>58</v>
      </c>
      <c r="E75" t="s">
        <v>68</v>
      </c>
      <c r="F75" t="s">
        <v>60</v>
      </c>
      <c r="G75" t="s">
        <v>61</v>
      </c>
      <c r="H75" t="s">
        <v>70</v>
      </c>
    </row>
    <row r="76" spans="1:8" x14ac:dyDescent="0.25">
      <c r="A76" s="60" t="s">
        <v>297</v>
      </c>
      <c r="B76" t="s">
        <v>130</v>
      </c>
      <c r="C76" t="s">
        <v>131</v>
      </c>
      <c r="D76" t="s">
        <v>58</v>
      </c>
      <c r="E76" t="s">
        <v>59</v>
      </c>
      <c r="F76" t="s">
        <v>60</v>
      </c>
      <c r="G76" t="s">
        <v>14</v>
      </c>
      <c r="H76" t="s">
        <v>132</v>
      </c>
    </row>
    <row r="77" spans="1:8" x14ac:dyDescent="0.25">
      <c r="A77" s="60" t="s">
        <v>298</v>
      </c>
      <c r="B77" t="s">
        <v>80</v>
      </c>
      <c r="C77" t="s">
        <v>230</v>
      </c>
      <c r="D77" t="s">
        <v>58</v>
      </c>
      <c r="E77" t="s">
        <v>180</v>
      </c>
      <c r="F77" t="s">
        <v>60</v>
      </c>
      <c r="G77" t="s">
        <v>69</v>
      </c>
      <c r="H77" t="s">
        <v>72</v>
      </c>
    </row>
    <row r="78" spans="1:8" x14ac:dyDescent="0.25">
      <c r="A78" s="60" t="s">
        <v>299</v>
      </c>
      <c r="B78" t="s">
        <v>11</v>
      </c>
      <c r="C78" t="s">
        <v>173</v>
      </c>
      <c r="D78" t="s">
        <v>300</v>
      </c>
      <c r="E78" t="s">
        <v>177</v>
      </c>
      <c r="F78" t="s">
        <v>60</v>
      </c>
      <c r="G78" t="s">
        <v>69</v>
      </c>
      <c r="H78" t="s">
        <v>72</v>
      </c>
    </row>
    <row r="79" spans="1:8" x14ac:dyDescent="0.25">
      <c r="A79" s="60" t="s">
        <v>301</v>
      </c>
      <c r="B79" t="s">
        <v>94</v>
      </c>
      <c r="C79" t="s">
        <v>302</v>
      </c>
      <c r="D79" t="s">
        <v>58</v>
      </c>
      <c r="E79" t="s">
        <v>64</v>
      </c>
      <c r="F79" t="s">
        <v>60</v>
      </c>
      <c r="G79" t="s">
        <v>14</v>
      </c>
      <c r="H79" t="s">
        <v>105</v>
      </c>
    </row>
    <row r="80" spans="1:8" x14ac:dyDescent="0.25">
      <c r="A80" s="60" t="s">
        <v>303</v>
      </c>
      <c r="B80" t="s">
        <v>73</v>
      </c>
      <c r="C80" t="s">
        <v>255</v>
      </c>
      <c r="D80" t="s">
        <v>58</v>
      </c>
      <c r="E80" t="s">
        <v>59</v>
      </c>
      <c r="F80" t="s">
        <v>60</v>
      </c>
      <c r="G80" t="s">
        <v>14</v>
      </c>
      <c r="H80" t="s">
        <v>72</v>
      </c>
    </row>
    <row r="81" spans="1:8" x14ac:dyDescent="0.25">
      <c r="A81" s="60" t="s">
        <v>304</v>
      </c>
      <c r="B81" t="s">
        <v>120</v>
      </c>
      <c r="C81" t="s">
        <v>305</v>
      </c>
      <c r="D81" t="s">
        <v>58</v>
      </c>
      <c r="E81" t="s">
        <v>79</v>
      </c>
      <c r="F81" t="s">
        <v>60</v>
      </c>
      <c r="G81" t="s">
        <v>69</v>
      </c>
      <c r="H81" t="s">
        <v>70</v>
      </c>
    </row>
    <row r="82" spans="1:8" x14ac:dyDescent="0.25">
      <c r="A82" s="60" t="s">
        <v>306</v>
      </c>
      <c r="B82" t="s">
        <v>73</v>
      </c>
      <c r="C82" t="s">
        <v>307</v>
      </c>
      <c r="D82" t="s">
        <v>58</v>
      </c>
      <c r="E82" t="s">
        <v>59</v>
      </c>
      <c r="F82" t="s">
        <v>60</v>
      </c>
      <c r="G82" t="s">
        <v>14</v>
      </c>
      <c r="H82" t="s">
        <v>72</v>
      </c>
    </row>
    <row r="83" spans="1:8" x14ac:dyDescent="0.25">
      <c r="A83" s="60" t="s">
        <v>308</v>
      </c>
      <c r="B83" t="s">
        <v>73</v>
      </c>
      <c r="C83" t="s">
        <v>305</v>
      </c>
      <c r="D83" t="s">
        <v>58</v>
      </c>
      <c r="E83" t="s">
        <v>79</v>
      </c>
      <c r="F83" t="s">
        <v>60</v>
      </c>
      <c r="G83" t="s">
        <v>69</v>
      </c>
      <c r="H83" t="s">
        <v>70</v>
      </c>
    </row>
    <row r="84" spans="1:8" x14ac:dyDescent="0.25">
      <c r="A84" s="60" t="s">
        <v>309</v>
      </c>
      <c r="B84" t="s">
        <v>91</v>
      </c>
      <c r="C84" t="s">
        <v>310</v>
      </c>
      <c r="D84" t="s">
        <v>311</v>
      </c>
      <c r="E84" t="s">
        <v>68</v>
      </c>
      <c r="F84" t="s">
        <v>60</v>
      </c>
      <c r="G84" t="s">
        <v>69</v>
      </c>
      <c r="H84" t="s">
        <v>72</v>
      </c>
    </row>
    <row r="85" spans="1:8" x14ac:dyDescent="0.25">
      <c r="A85" s="60" t="s">
        <v>285</v>
      </c>
      <c r="B85" t="s">
        <v>116</v>
      </c>
      <c r="C85" t="s">
        <v>129</v>
      </c>
      <c r="D85" t="s">
        <v>58</v>
      </c>
      <c r="E85" t="s">
        <v>59</v>
      </c>
      <c r="F85" t="s">
        <v>60</v>
      </c>
      <c r="G85" t="s">
        <v>14</v>
      </c>
      <c r="H85" t="s">
        <v>85</v>
      </c>
    </row>
    <row r="86" spans="1:8" x14ac:dyDescent="0.25">
      <c r="A86" s="60" t="s">
        <v>312</v>
      </c>
      <c r="B86" t="s">
        <v>130</v>
      </c>
      <c r="C86" t="s">
        <v>131</v>
      </c>
      <c r="D86" t="s">
        <v>58</v>
      </c>
      <c r="E86" t="s">
        <v>59</v>
      </c>
      <c r="F86" t="s">
        <v>60</v>
      </c>
      <c r="G86" t="s">
        <v>14</v>
      </c>
      <c r="H86" t="s">
        <v>132</v>
      </c>
    </row>
    <row r="87" spans="1:8" x14ac:dyDescent="0.25">
      <c r="A87" s="60" t="s">
        <v>313</v>
      </c>
      <c r="B87" t="s">
        <v>130</v>
      </c>
      <c r="C87" t="s">
        <v>131</v>
      </c>
      <c r="D87" t="s">
        <v>58</v>
      </c>
      <c r="E87" t="s">
        <v>59</v>
      </c>
      <c r="F87" t="s">
        <v>60</v>
      </c>
      <c r="G87" t="s">
        <v>14</v>
      </c>
      <c r="H87" t="s">
        <v>132</v>
      </c>
    </row>
    <row r="88" spans="1:8" x14ac:dyDescent="0.25">
      <c r="A88" s="60" t="s">
        <v>314</v>
      </c>
      <c r="B88" t="s">
        <v>133</v>
      </c>
      <c r="C88" t="s">
        <v>134</v>
      </c>
      <c r="D88" t="s">
        <v>58</v>
      </c>
      <c r="E88" t="s">
        <v>59</v>
      </c>
      <c r="F88" t="s">
        <v>60</v>
      </c>
      <c r="G88" t="s">
        <v>14</v>
      </c>
      <c r="H88" t="s">
        <v>62</v>
      </c>
    </row>
    <row r="89" spans="1:8" x14ac:dyDescent="0.25">
      <c r="A89" s="60" t="s">
        <v>315</v>
      </c>
      <c r="B89" t="s">
        <v>39</v>
      </c>
      <c r="C89" t="s">
        <v>83</v>
      </c>
      <c r="D89" t="s">
        <v>135</v>
      </c>
      <c r="E89" t="s">
        <v>59</v>
      </c>
      <c r="F89" t="s">
        <v>60</v>
      </c>
      <c r="G89" t="s">
        <v>69</v>
      </c>
      <c r="H89" t="s">
        <v>62</v>
      </c>
    </row>
    <row r="90" spans="1:8" x14ac:dyDescent="0.25">
      <c r="A90" s="60" t="s">
        <v>316</v>
      </c>
      <c r="B90" t="s">
        <v>116</v>
      </c>
      <c r="C90" t="s">
        <v>136</v>
      </c>
      <c r="D90" t="s">
        <v>58</v>
      </c>
      <c r="E90" t="s">
        <v>59</v>
      </c>
      <c r="F90" t="s">
        <v>60</v>
      </c>
      <c r="G90" t="s">
        <v>14</v>
      </c>
      <c r="H90" t="s">
        <v>62</v>
      </c>
    </row>
    <row r="91" spans="1:8" x14ac:dyDescent="0.25">
      <c r="A91" s="60" t="s">
        <v>317</v>
      </c>
      <c r="B91" t="s">
        <v>137</v>
      </c>
      <c r="C91" t="s">
        <v>138</v>
      </c>
      <c r="D91" t="s">
        <v>58</v>
      </c>
      <c r="E91" t="s">
        <v>79</v>
      </c>
      <c r="F91" t="s">
        <v>60</v>
      </c>
      <c r="G91" t="s">
        <v>14</v>
      </c>
      <c r="H91" t="s">
        <v>96</v>
      </c>
    </row>
    <row r="92" spans="1:8" x14ac:dyDescent="0.25">
      <c r="A92" s="60" t="s">
        <v>318</v>
      </c>
      <c r="B92" t="s">
        <v>139</v>
      </c>
      <c r="C92" t="s">
        <v>95</v>
      </c>
      <c r="D92" t="s">
        <v>58</v>
      </c>
      <c r="E92" t="s">
        <v>59</v>
      </c>
      <c r="F92" t="s">
        <v>60</v>
      </c>
      <c r="G92" t="s">
        <v>14</v>
      </c>
      <c r="H92" t="s">
        <v>72</v>
      </c>
    </row>
    <row r="93" spans="1:8" x14ac:dyDescent="0.25">
      <c r="A93" s="60" t="s">
        <v>319</v>
      </c>
      <c r="B93" t="s">
        <v>73</v>
      </c>
      <c r="C93" t="s">
        <v>140</v>
      </c>
      <c r="D93" t="s">
        <v>141</v>
      </c>
      <c r="E93" t="s">
        <v>59</v>
      </c>
      <c r="F93" t="s">
        <v>60</v>
      </c>
      <c r="G93" t="s">
        <v>61</v>
      </c>
      <c r="H93" t="s">
        <v>72</v>
      </c>
    </row>
    <row r="94" spans="1:8" x14ac:dyDescent="0.25">
      <c r="A94" s="60" t="s">
        <v>320</v>
      </c>
      <c r="B94" t="s">
        <v>142</v>
      </c>
      <c r="C94" t="s">
        <v>143</v>
      </c>
      <c r="D94" t="s">
        <v>58</v>
      </c>
      <c r="E94" t="s">
        <v>110</v>
      </c>
      <c r="F94" t="s">
        <v>60</v>
      </c>
      <c r="G94" t="s">
        <v>61</v>
      </c>
      <c r="H94" t="s">
        <v>72</v>
      </c>
    </row>
    <row r="95" spans="1:8" x14ac:dyDescent="0.25">
      <c r="A95" s="60" t="s">
        <v>321</v>
      </c>
      <c r="B95" t="s">
        <v>71</v>
      </c>
      <c r="C95" t="s">
        <v>144</v>
      </c>
      <c r="D95" t="s">
        <v>58</v>
      </c>
      <c r="E95" t="s">
        <v>79</v>
      </c>
      <c r="F95" t="s">
        <v>60</v>
      </c>
      <c r="G95" t="s">
        <v>61</v>
      </c>
      <c r="H95" t="s">
        <v>72</v>
      </c>
    </row>
    <row r="96" spans="1:8" x14ac:dyDescent="0.25">
      <c r="A96" s="60" t="s">
        <v>322</v>
      </c>
      <c r="B96" t="s">
        <v>24</v>
      </c>
      <c r="C96" t="s">
        <v>83</v>
      </c>
      <c r="D96" t="s">
        <v>145</v>
      </c>
      <c r="E96" t="s">
        <v>59</v>
      </c>
      <c r="F96" t="s">
        <v>60</v>
      </c>
      <c r="G96" t="s">
        <v>69</v>
      </c>
      <c r="H96" t="s">
        <v>62</v>
      </c>
    </row>
    <row r="97" spans="1:8" x14ac:dyDescent="0.25">
      <c r="A97" s="60" t="s">
        <v>323</v>
      </c>
      <c r="B97" t="s">
        <v>116</v>
      </c>
      <c r="C97" t="s">
        <v>146</v>
      </c>
      <c r="D97" t="s">
        <v>147</v>
      </c>
      <c r="E97" t="s">
        <v>92</v>
      </c>
      <c r="F97" t="s">
        <v>126</v>
      </c>
      <c r="G97" t="s">
        <v>148</v>
      </c>
      <c r="H97" t="s">
        <v>85</v>
      </c>
    </row>
    <row r="98" spans="1:8" x14ac:dyDescent="0.25">
      <c r="A98" s="60" t="s">
        <v>322</v>
      </c>
      <c r="B98" t="s">
        <v>149</v>
      </c>
      <c r="C98" t="s">
        <v>83</v>
      </c>
      <c r="D98" t="s">
        <v>150</v>
      </c>
      <c r="E98" t="s">
        <v>59</v>
      </c>
      <c r="F98" t="s">
        <v>60</v>
      </c>
      <c r="G98" t="s">
        <v>69</v>
      </c>
      <c r="H98" t="s">
        <v>72</v>
      </c>
    </row>
    <row r="99" spans="1:8" x14ac:dyDescent="0.25">
      <c r="A99" s="60" t="s">
        <v>324</v>
      </c>
      <c r="B99" t="s">
        <v>67</v>
      </c>
      <c r="C99" t="s">
        <v>151</v>
      </c>
      <c r="D99" t="s">
        <v>58</v>
      </c>
      <c r="E99" t="s">
        <v>59</v>
      </c>
      <c r="F99" t="s">
        <v>60</v>
      </c>
      <c r="G99" t="s">
        <v>61</v>
      </c>
      <c r="H99" t="s">
        <v>72</v>
      </c>
    </row>
    <row r="100" spans="1:8" x14ac:dyDescent="0.25">
      <c r="A100" s="60" t="s">
        <v>325</v>
      </c>
      <c r="B100" t="s">
        <v>116</v>
      </c>
      <c r="C100" t="s">
        <v>151</v>
      </c>
      <c r="D100" t="s">
        <v>58</v>
      </c>
      <c r="E100" t="s">
        <v>59</v>
      </c>
      <c r="F100" t="s">
        <v>60</v>
      </c>
      <c r="G100" t="s">
        <v>61</v>
      </c>
      <c r="H100" t="s">
        <v>72</v>
      </c>
    </row>
    <row r="101" spans="1:8" x14ac:dyDescent="0.25">
      <c r="A101" s="60" t="s">
        <v>326</v>
      </c>
      <c r="B101" t="s">
        <v>152</v>
      </c>
      <c r="C101" t="s">
        <v>153</v>
      </c>
      <c r="D101" t="s">
        <v>58</v>
      </c>
      <c r="E101" t="s">
        <v>59</v>
      </c>
      <c r="F101" t="s">
        <v>60</v>
      </c>
      <c r="G101" t="s">
        <v>69</v>
      </c>
      <c r="H101" t="s">
        <v>90</v>
      </c>
    </row>
    <row r="102" spans="1:8" x14ac:dyDescent="0.25">
      <c r="A102" s="60" t="s">
        <v>327</v>
      </c>
      <c r="B102" t="s">
        <v>71</v>
      </c>
      <c r="C102" t="s">
        <v>154</v>
      </c>
      <c r="D102" t="s">
        <v>58</v>
      </c>
      <c r="E102" t="s">
        <v>74</v>
      </c>
      <c r="F102" t="s">
        <v>60</v>
      </c>
      <c r="G102" t="s">
        <v>14</v>
      </c>
      <c r="H102" t="s">
        <v>62</v>
      </c>
    </row>
    <row r="103" spans="1:8" x14ac:dyDescent="0.25">
      <c r="A103" s="60" t="s">
        <v>328</v>
      </c>
      <c r="B103" t="s">
        <v>78</v>
      </c>
      <c r="C103" t="s">
        <v>122</v>
      </c>
      <c r="D103" t="s">
        <v>155</v>
      </c>
      <c r="E103" t="s">
        <v>79</v>
      </c>
      <c r="F103" t="s">
        <v>60</v>
      </c>
      <c r="G103" t="s">
        <v>69</v>
      </c>
      <c r="H103" t="s">
        <v>62</v>
      </c>
    </row>
    <row r="104" spans="1:8" x14ac:dyDescent="0.25">
      <c r="A104" s="60" t="s">
        <v>329</v>
      </c>
      <c r="B104" t="s">
        <v>94</v>
      </c>
      <c r="C104" t="s">
        <v>95</v>
      </c>
      <c r="D104" t="s">
        <v>58</v>
      </c>
      <c r="E104" t="s">
        <v>79</v>
      </c>
      <c r="F104" t="s">
        <v>60</v>
      </c>
      <c r="G104" t="s">
        <v>14</v>
      </c>
      <c r="H104" t="s">
        <v>90</v>
      </c>
    </row>
    <row r="105" spans="1:8" x14ac:dyDescent="0.25">
      <c r="A105" s="60" t="s">
        <v>330</v>
      </c>
      <c r="B105" t="s">
        <v>94</v>
      </c>
      <c r="C105" t="s">
        <v>95</v>
      </c>
      <c r="D105" t="s">
        <v>58</v>
      </c>
      <c r="E105" t="s">
        <v>79</v>
      </c>
      <c r="F105" t="s">
        <v>60</v>
      </c>
      <c r="G105" t="s">
        <v>14</v>
      </c>
      <c r="H105" t="s">
        <v>90</v>
      </c>
    </row>
    <row r="106" spans="1:8" x14ac:dyDescent="0.25">
      <c r="A106" s="60" t="s">
        <v>331</v>
      </c>
      <c r="B106" t="s">
        <v>91</v>
      </c>
      <c r="C106" t="s">
        <v>159</v>
      </c>
      <c r="D106" t="s">
        <v>160</v>
      </c>
      <c r="E106" t="s">
        <v>79</v>
      </c>
      <c r="F106" t="s">
        <v>60</v>
      </c>
      <c r="G106" t="s">
        <v>69</v>
      </c>
      <c r="H106" t="s">
        <v>72</v>
      </c>
    </row>
    <row r="107" spans="1:8" x14ac:dyDescent="0.25">
      <c r="A107" s="60" t="s">
        <v>332</v>
      </c>
      <c r="B107" t="s">
        <v>161</v>
      </c>
      <c r="C107" t="s">
        <v>162</v>
      </c>
      <c r="D107" t="s">
        <v>163</v>
      </c>
      <c r="E107" t="s">
        <v>59</v>
      </c>
      <c r="F107" t="s">
        <v>60</v>
      </c>
      <c r="G107" t="s">
        <v>61</v>
      </c>
      <c r="H107" t="s">
        <v>72</v>
      </c>
    </row>
    <row r="108" spans="1:8" x14ac:dyDescent="0.25">
      <c r="A108" s="60" t="s">
        <v>333</v>
      </c>
      <c r="B108" t="s">
        <v>106</v>
      </c>
      <c r="C108" t="s">
        <v>164</v>
      </c>
      <c r="D108" t="s">
        <v>58</v>
      </c>
      <c r="E108" t="s">
        <v>59</v>
      </c>
      <c r="F108" t="s">
        <v>60</v>
      </c>
      <c r="G108" t="s">
        <v>61</v>
      </c>
      <c r="H108" t="s">
        <v>72</v>
      </c>
    </row>
    <row r="109" spans="1:8" x14ac:dyDescent="0.25">
      <c r="A109" s="60" t="s">
        <v>334</v>
      </c>
      <c r="B109" t="s">
        <v>73</v>
      </c>
      <c r="C109" t="s">
        <v>165</v>
      </c>
      <c r="D109" t="s">
        <v>166</v>
      </c>
      <c r="E109" t="s">
        <v>68</v>
      </c>
      <c r="F109" t="s">
        <v>60</v>
      </c>
      <c r="G109" t="s">
        <v>69</v>
      </c>
      <c r="H109" t="s">
        <v>72</v>
      </c>
    </row>
    <row r="110" spans="1:8" x14ac:dyDescent="0.25">
      <c r="A110" s="60" t="s">
        <v>335</v>
      </c>
      <c r="B110" t="s">
        <v>73</v>
      </c>
      <c r="C110" t="s">
        <v>167</v>
      </c>
      <c r="D110" t="s">
        <v>168</v>
      </c>
      <c r="E110" t="s">
        <v>68</v>
      </c>
      <c r="F110" t="s">
        <v>60</v>
      </c>
      <c r="G110" t="s">
        <v>69</v>
      </c>
      <c r="H110" t="s">
        <v>72</v>
      </c>
    </row>
    <row r="111" spans="1:8" x14ac:dyDescent="0.25">
      <c r="A111" s="60" t="s">
        <v>336</v>
      </c>
      <c r="B111" t="s">
        <v>94</v>
      </c>
      <c r="C111" t="s">
        <v>83</v>
      </c>
      <c r="D111" t="s">
        <v>145</v>
      </c>
      <c r="E111" t="s">
        <v>68</v>
      </c>
      <c r="F111" t="s">
        <v>60</v>
      </c>
      <c r="G111" t="s">
        <v>69</v>
      </c>
      <c r="H111" t="s">
        <v>72</v>
      </c>
    </row>
    <row r="112" spans="1:8" x14ac:dyDescent="0.25">
      <c r="A112" s="60" t="s">
        <v>295</v>
      </c>
      <c r="B112" t="s">
        <v>82</v>
      </c>
      <c r="C112" t="s">
        <v>169</v>
      </c>
      <c r="D112" t="s">
        <v>58</v>
      </c>
      <c r="E112" t="s">
        <v>68</v>
      </c>
      <c r="F112" t="s">
        <v>60</v>
      </c>
      <c r="G112" t="s">
        <v>14</v>
      </c>
      <c r="H112" t="s">
        <v>65</v>
      </c>
    </row>
    <row r="113" spans="1:8" x14ac:dyDescent="0.25">
      <c r="A113" s="60" t="s">
        <v>337</v>
      </c>
      <c r="B113" t="s">
        <v>24</v>
      </c>
      <c r="C113" t="s">
        <v>170</v>
      </c>
      <c r="D113" t="s">
        <v>58</v>
      </c>
      <c r="E113" t="s">
        <v>59</v>
      </c>
      <c r="F113" t="s">
        <v>60</v>
      </c>
      <c r="G113" t="s">
        <v>14</v>
      </c>
      <c r="H113" t="s">
        <v>62</v>
      </c>
    </row>
    <row r="114" spans="1:8" x14ac:dyDescent="0.25">
      <c r="A114" s="60" t="s">
        <v>338</v>
      </c>
      <c r="B114" t="s">
        <v>94</v>
      </c>
      <c r="C114" t="s">
        <v>171</v>
      </c>
      <c r="D114" t="s">
        <v>58</v>
      </c>
      <c r="E114" t="s">
        <v>59</v>
      </c>
      <c r="F114" t="s">
        <v>60</v>
      </c>
      <c r="G114" t="s">
        <v>14</v>
      </c>
      <c r="H114" t="s">
        <v>96</v>
      </c>
    </row>
    <row r="115" spans="1:8" x14ac:dyDescent="0.25">
      <c r="A115" s="60" t="s">
        <v>339</v>
      </c>
      <c r="B115" t="s">
        <v>94</v>
      </c>
      <c r="C115" t="s">
        <v>171</v>
      </c>
      <c r="D115" t="s">
        <v>58</v>
      </c>
      <c r="E115" t="s">
        <v>59</v>
      </c>
      <c r="F115" t="s">
        <v>60</v>
      </c>
      <c r="G115" t="s">
        <v>61</v>
      </c>
      <c r="H115" t="s">
        <v>96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FD9ECE-EA0A-444A-AEED-5557591923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Description</vt:lpstr>
      <vt:lpstr>InputData</vt:lpstr>
      <vt:lpstr>MainData</vt:lpstr>
      <vt:lpstr>CurrencyAPI</vt:lpstr>
      <vt:lpstr>python_output (2)</vt:lpstr>
      <vt:lpstr>python_output</vt:lpstr>
      <vt:lpstr>EUR</vt:lpstr>
      <vt:lpstr>USD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</dc:creator>
  <cp:lastModifiedBy>Dominik Mikituła</cp:lastModifiedBy>
  <dcterms:created xsi:type="dcterms:W3CDTF">2015-06-05T18:17:20Z</dcterms:created>
  <dcterms:modified xsi:type="dcterms:W3CDTF">2024-05-20T18:44:41Z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52e25d9-fa69-4797-8d62-d7c89697a54a_Enabled">
    <vt:lpwstr>true</vt:lpwstr>
  </property>
  <property fmtid="{D5CDD505-2E9C-101B-9397-08002B2CF9AE}" pid="3" name="MSIP_Label_e52e25d9-fa69-4797-8d62-d7c89697a54a_SetDate">
    <vt:lpwstr>2024-04-25T07:54:33Z</vt:lpwstr>
  </property>
  <property fmtid="{D5CDD505-2E9C-101B-9397-08002B2CF9AE}" pid="4" name="MSIP_Label_e52e25d9-fa69-4797-8d62-d7c89697a54a_Method">
    <vt:lpwstr>Standard</vt:lpwstr>
  </property>
  <property fmtid="{D5CDD505-2E9C-101B-9397-08002B2CF9AE}" pid="5" name="MSIP_Label_e52e25d9-fa69-4797-8d62-d7c89697a54a_Name">
    <vt:lpwstr>General - Internal</vt:lpwstr>
  </property>
  <property fmtid="{D5CDD505-2E9C-101B-9397-08002B2CF9AE}" pid="6" name="MSIP_Label_e52e25d9-fa69-4797-8d62-d7c89697a54a_SiteId">
    <vt:lpwstr>e274a129-849d-4351-ab82-7bd413959a93</vt:lpwstr>
  </property>
  <property fmtid="{D5CDD505-2E9C-101B-9397-08002B2CF9AE}" pid="7" name="MSIP_Label_e52e25d9-fa69-4797-8d62-d7c89697a54a_ActionId">
    <vt:lpwstr>0a6382a7-179a-421e-a586-b2eebf53e076</vt:lpwstr>
  </property>
  <property fmtid="{D5CDD505-2E9C-101B-9397-08002B2CF9AE}" pid="8" name="MSIP_Label_e52e25d9-fa69-4797-8d62-d7c89697a54a_ContentBits">
    <vt:lpwstr>0</vt:lpwstr>
  </property>
</Properties>
</file>